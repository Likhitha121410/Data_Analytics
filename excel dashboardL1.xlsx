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8_{83A15FFC-28FA-4587-A47B-2501AF3EF2F5}" xr6:coauthVersionLast="47" xr6:coauthVersionMax="47" xr10:uidLastSave="{00000000-0000-0000-0000-000000000000}"/>
  <bookViews>
    <workbookView xWindow="-120" yWindow="-120" windowWidth="29040" windowHeight="15720" activeTab="1" xr2:uid="{AA1A97D8-1D45-434E-8653-8E0D05A47333}"/>
  </bookViews>
  <sheets>
    <sheet name="Detail1" sheetId="4" r:id="rId1"/>
    <sheet name="Sheet4" sheetId="5" r:id="rId2"/>
    <sheet name="Sheet3" sheetId="3" r:id="rId3"/>
    <sheet name="Sheet5" sheetId="6" r:id="rId4"/>
    <sheet name="Sheet6" sheetId="7" r:id="rId5"/>
    <sheet name="Sheet7" sheetId="8" r:id="rId6"/>
    <sheet name="Sheet1" sheetId="1" r:id="rId7"/>
    <sheet name="Sheet2" sheetId="2" r:id="rId8"/>
  </sheets>
  <definedNames>
    <definedName name="Slicer_Profit">#N/A</definedName>
    <definedName name="Slicer_Sales">#N/A</definedName>
    <definedName name="Slicer_Year">#N/A</definedName>
  </definedNames>
  <calcPr calcId="191029"/>
  <pivotCaches>
    <pivotCache cacheId="16" r:id="rId9"/>
    <pivotCache cacheId="1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3" l="1"/>
  <c r="K8" i="3"/>
  <c r="K9" i="3"/>
  <c r="K10" i="3"/>
  <c r="K11" i="3"/>
  <c r="K12" i="3"/>
  <c r="K13" i="3"/>
  <c r="K14" i="3"/>
  <c r="K15" i="3"/>
  <c r="K6" i="3"/>
  <c r="L7" i="3"/>
  <c r="L8" i="3"/>
  <c r="L10" i="3"/>
  <c r="L11" i="3"/>
  <c r="L12" i="3"/>
  <c r="L9" i="3"/>
  <c r="L13" i="3"/>
  <c r="L14" i="3"/>
  <c r="L15" i="3"/>
  <c r="L6" i="3"/>
</calcChain>
</file>

<file path=xl/sharedStrings.xml><?xml version="1.0" encoding="utf-8"?>
<sst xmlns="http://schemas.openxmlformats.org/spreadsheetml/2006/main" count="288" uniqueCount="54">
  <si>
    <t>Order Date</t>
  </si>
  <si>
    <t>Customer Name</t>
  </si>
  <si>
    <t>State</t>
  </si>
  <si>
    <t>Category</t>
  </si>
  <si>
    <t>Sub-Category</t>
  </si>
  <si>
    <t>Sales</t>
  </si>
  <si>
    <t>Quantity</t>
  </si>
  <si>
    <t>Profit</t>
  </si>
  <si>
    <t>Month</t>
  </si>
  <si>
    <t>Year</t>
  </si>
  <si>
    <t>Darren Powers</t>
  </si>
  <si>
    <t>Texas</t>
  </si>
  <si>
    <t>Office Supplies</t>
  </si>
  <si>
    <t>Paper</t>
  </si>
  <si>
    <t>Jan</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</si>
  <si>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</si>
  <si>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</si>
  <si>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</si>
  <si>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</si>
  <si>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</si>
  <si>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</si>
  <si>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</si>
  <si>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</si>
  <si>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</si>
  <si>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</si>
  <si>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</si>
  <si>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</si>
  <si>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</si>
  <si>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</si>
  <si>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</si>
  <si>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</si>
  <si>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</si>
  <si>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</si>
  <si>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</si>
  <si>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</si>
  <si>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</si>
  <si>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</si>
  <si>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</si>
  <si>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</si>
  <si>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</si>
  <si>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</si>
  <si>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</si>
  <si>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Sum of Sales</t>
  </si>
  <si>
    <t>Sum of Profit</t>
  </si>
  <si>
    <t>profit by year</t>
  </si>
  <si>
    <t>Row Labels</t>
  </si>
  <si>
    <t>(blank)</t>
  </si>
  <si>
    <t>Grand Total</t>
  </si>
  <si>
    <t>sales by sub category</t>
  </si>
  <si>
    <t>Details for Sum of Profit - Year: 2021</t>
  </si>
  <si>
    <t>Category Sales</t>
  </si>
  <si>
    <t>Count of Customer Name</t>
  </si>
  <si>
    <t>Sum of Year</t>
  </si>
  <si>
    <t>Count of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</si>
</sst>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8" formatCode="_-[$$-409]* #,##0.00_ ;_-[$$-409]* \-#,##0.00\ ;_-[$$-409]* &quot;-&quot;??_ ;_-@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2" fillId="0" borderId="0" xfId="0" applyFont="1" applyAlignment="1">
      <alignment horizontal="center" vertical="center" wrapText="1"/>
    </xf>
    <xf numFmtId="14"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0" fillId="2" borderId="0" xfId="0" applyFill="1"/>
    <xf numFmtId="0" fontId="0" fillId="3" borderId="0" xfId="0" applyFill="1"/>
    <xf numFmtId="168" fontId="0" fillId="0" borderId="0" xfId="1" applyNumberFormat="1" applyFont="1"/>
    <xf numFmtId="168" fontId="0" fillId="0" borderId="0" xfId="0" applyNumberFormat="1"/>
    <xf numFmtId="0" fontId="4" fillId="3" borderId="0" xfId="0" applyFont="1" applyFill="1"/>
  </cellXfs>
  <cellStyles count="2">
    <cellStyle name="Currency" xfId="1" builtinId="4"/>
    <cellStyle name="Normal" xfId="0" builtinId="0"/>
  </cellStyles>
  <dxfs count="19">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9" formatCode="dd/mm/yy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colors>
    <mruColors>
      <color rgb="FFA3C7E7"/>
      <color rgb="FF084F6A"/>
      <color rgb="FFD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dashboardL1.xlsx]Sheet3!PivotTable4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Sheet3!$F$5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0A-475B-891E-8D3397CA9242}"/>
              </c:ext>
            </c:extLst>
          </c:dPt>
          <c:cat>
            <c:strRef>
              <c:f>Sheet3!$E$6:$E$7</c:f>
              <c:strCache>
                <c:ptCount val="1"/>
                <c:pt idx="0">
                  <c:v>2021</c:v>
                </c:pt>
              </c:strCache>
            </c:strRef>
          </c:cat>
          <c:val>
            <c:numRef>
              <c:f>Sheet3!$F$6:$F$7</c:f>
              <c:numCache>
                <c:formatCode>General</c:formatCode>
                <c:ptCount val="1"/>
                <c:pt idx="0">
                  <c:v>0.31</c:v>
                </c:pt>
              </c:numCache>
            </c:numRef>
          </c:val>
          <c:extLst>
            <c:ext xmlns:c16="http://schemas.microsoft.com/office/drawing/2014/chart" uri="{C3380CC4-5D6E-409C-BE32-E72D297353CC}">
              <c16:uniqueId val="{00000002-8C0A-475B-891E-8D3397CA92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a:softEdge rad="647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dashboardL1.xlsx]Sheet3!PivotTable5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Sheet3!$I$5</c:f>
              <c:strCache>
                <c:ptCount val="1"/>
                <c:pt idx="0">
                  <c:v>Total</c:v>
                </c:pt>
              </c:strCache>
            </c:strRef>
          </c:tx>
          <c:spPr>
            <a:solidFill>
              <a:schemeClr val="accent1"/>
            </a:solidFill>
            <a:ln>
              <a:noFill/>
            </a:ln>
            <a:effectLst/>
          </c:spPr>
          <c:invertIfNegative val="0"/>
          <c:cat>
            <c:strRef>
              <c:f>Sheet3!$H$6:$H$17</c:f>
              <c:strCache>
                <c:ptCount val="11"/>
                <c:pt idx="0">
                  <c:v>Chairs</c:v>
                </c:pt>
                <c:pt idx="1">
                  <c:v>Phones</c:v>
                </c:pt>
                <c:pt idx="2">
                  <c:v>Binders</c:v>
                </c:pt>
                <c:pt idx="3">
                  <c:v>Storage</c:v>
                </c:pt>
                <c:pt idx="4">
                  <c:v>Furnishings</c:v>
                </c:pt>
                <c:pt idx="5">
                  <c:v>Art</c:v>
                </c:pt>
                <c:pt idx="6">
                  <c:v>Paper</c:v>
                </c:pt>
                <c:pt idx="7">
                  <c:v>Accessories</c:v>
                </c:pt>
                <c:pt idx="8">
                  <c:v>Fasteners</c:v>
                </c:pt>
                <c:pt idx="9">
                  <c:v>Labels</c:v>
                </c:pt>
                <c:pt idx="10">
                  <c:v>(blank)</c:v>
                </c:pt>
              </c:strCache>
            </c:strRef>
          </c:cat>
          <c:val>
            <c:numRef>
              <c:f>Sheet3!$I$6:$I$17</c:f>
              <c:numCache>
                <c:formatCode>General</c:formatCode>
                <c:ptCount val="11"/>
                <c:pt idx="0">
                  <c:v>2573.8200000000002</c:v>
                </c:pt>
                <c:pt idx="1">
                  <c:v>1147.94</c:v>
                </c:pt>
                <c:pt idx="2">
                  <c:v>623.94999999999993</c:v>
                </c:pt>
                <c:pt idx="3">
                  <c:v>272.74</c:v>
                </c:pt>
                <c:pt idx="4">
                  <c:v>138.61000000000001</c:v>
                </c:pt>
                <c:pt idx="5">
                  <c:v>47.14</c:v>
                </c:pt>
                <c:pt idx="6">
                  <c:v>42.43</c:v>
                </c:pt>
                <c:pt idx="7">
                  <c:v>31.2</c:v>
                </c:pt>
                <c:pt idx="8">
                  <c:v>31.12</c:v>
                </c:pt>
                <c:pt idx="9">
                  <c:v>14.67</c:v>
                </c:pt>
              </c:numCache>
            </c:numRef>
          </c:val>
          <c:extLst>
            <c:ext xmlns:c16="http://schemas.microsoft.com/office/drawing/2014/chart" uri="{C3380CC4-5D6E-409C-BE32-E72D297353CC}">
              <c16:uniqueId val="{00000000-40E5-4431-8909-4E1646AB3126}"/>
            </c:ext>
          </c:extLst>
        </c:ser>
        <c:dLbls>
          <c:showLegendKey val="0"/>
          <c:showVal val="0"/>
          <c:showCatName val="0"/>
          <c:showSerName val="0"/>
          <c:showPercent val="0"/>
          <c:showBubbleSize val="0"/>
        </c:dLbls>
        <c:gapWidth val="219"/>
        <c:overlap val="-27"/>
        <c:axId val="1751219552"/>
        <c:axId val="1751220032"/>
      </c:barChart>
      <c:catAx>
        <c:axId val="17512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220032"/>
        <c:crosses val="autoZero"/>
        <c:auto val="1"/>
        <c:lblAlgn val="ctr"/>
        <c:lblOffset val="100"/>
        <c:noMultiLvlLbl val="0"/>
      </c:catAx>
      <c:valAx>
        <c:axId val="17512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21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dashboardL1.xlsx]Sheet3!PivotTable7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Sheet3!$R$8</c:f>
              <c:strCache>
                <c:ptCount val="1"/>
                <c:pt idx="0">
                  <c:v>Total</c:v>
                </c:pt>
              </c:strCache>
            </c:strRef>
          </c:tx>
          <c:spPr>
            <a:solidFill>
              <a:schemeClr val="accent1"/>
            </a:solidFill>
            <a:ln>
              <a:noFill/>
            </a:ln>
            <a:effectLst/>
          </c:spPr>
          <c:invertIfNegative val="0"/>
          <c:cat>
            <c:strRef>
              <c:f>Sheet3!$Q$9:$Q$10</c:f>
              <c:strCache>
                <c:ptCount val="1"/>
                <c:pt idx="0">
                  <c:v>2021</c:v>
                </c:pt>
              </c:strCache>
            </c:strRef>
          </c:cat>
          <c:val>
            <c:numRef>
              <c:f>Sheet3!$R$9:$R$10</c:f>
              <c:numCache>
                <c:formatCode>General</c:formatCode>
                <c:ptCount val="1"/>
                <c:pt idx="0">
                  <c:v>21</c:v>
                </c:pt>
              </c:numCache>
            </c:numRef>
          </c:val>
          <c:extLst>
            <c:ext xmlns:c16="http://schemas.microsoft.com/office/drawing/2014/chart" uri="{C3380CC4-5D6E-409C-BE32-E72D297353CC}">
              <c16:uniqueId val="{00000000-C985-4920-A7D1-86F38A15F785}"/>
            </c:ext>
          </c:extLst>
        </c:ser>
        <c:dLbls>
          <c:showLegendKey val="0"/>
          <c:showVal val="0"/>
          <c:showCatName val="0"/>
          <c:showSerName val="0"/>
          <c:showPercent val="0"/>
          <c:showBubbleSize val="0"/>
        </c:dLbls>
        <c:gapWidth val="182"/>
        <c:axId val="215473312"/>
        <c:axId val="215490112"/>
      </c:barChart>
      <c:catAx>
        <c:axId val="21547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90112"/>
        <c:crosses val="autoZero"/>
        <c:auto val="1"/>
        <c:lblAlgn val="ctr"/>
        <c:lblOffset val="100"/>
        <c:noMultiLvlLbl val="0"/>
      </c:catAx>
      <c:valAx>
        <c:axId val="215490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dashboardL1.xlsx]Sheet3!PivotTable4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Sheet3!$F$5</c:f>
              <c:strCache>
                <c:ptCount val="1"/>
                <c:pt idx="0">
                  <c:v>Total</c:v>
                </c:pt>
              </c:strCache>
            </c:strRef>
          </c:tx>
          <c:dPt>
            <c:idx val="0"/>
            <c:bubble3D val="0"/>
            <c:spPr>
              <a:solidFill>
                <a:schemeClr val="accent1"/>
              </a:solidFill>
              <a:ln w="19050">
                <a:solidFill>
                  <a:schemeClr val="lt1"/>
                </a:solidFill>
              </a:ln>
              <a:effectLst/>
            </c:spPr>
          </c:dPt>
          <c:cat>
            <c:strRef>
              <c:f>Sheet3!$E$6:$E$7</c:f>
              <c:strCache>
                <c:ptCount val="1"/>
                <c:pt idx="0">
                  <c:v>2021</c:v>
                </c:pt>
              </c:strCache>
            </c:strRef>
          </c:cat>
          <c:val>
            <c:numRef>
              <c:f>Sheet3!$F$6:$F$7</c:f>
              <c:numCache>
                <c:formatCode>General</c:formatCode>
                <c:ptCount val="1"/>
                <c:pt idx="0">
                  <c:v>0.31</c:v>
                </c:pt>
              </c:numCache>
            </c:numRef>
          </c:val>
          <c:extLst>
            <c:ext xmlns:c16="http://schemas.microsoft.com/office/drawing/2014/chart" uri="{C3380CC4-5D6E-409C-BE32-E72D297353CC}">
              <c16:uniqueId val="{00000000-B856-40EB-B983-54AD0A01B7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dashboardL1.xlsx]Sheet3!PivotTable5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Sheet3!$I$5</c:f>
              <c:strCache>
                <c:ptCount val="1"/>
                <c:pt idx="0">
                  <c:v>Total</c:v>
                </c:pt>
              </c:strCache>
            </c:strRef>
          </c:tx>
          <c:spPr>
            <a:solidFill>
              <a:schemeClr val="accent1"/>
            </a:solidFill>
            <a:ln>
              <a:noFill/>
            </a:ln>
            <a:effectLst/>
          </c:spPr>
          <c:invertIfNegative val="0"/>
          <c:cat>
            <c:strRef>
              <c:f>Sheet3!$H$6:$H$17</c:f>
              <c:strCache>
                <c:ptCount val="11"/>
                <c:pt idx="0">
                  <c:v>Chairs</c:v>
                </c:pt>
                <c:pt idx="1">
                  <c:v>Phones</c:v>
                </c:pt>
                <c:pt idx="2">
                  <c:v>Binders</c:v>
                </c:pt>
                <c:pt idx="3">
                  <c:v>Storage</c:v>
                </c:pt>
                <c:pt idx="4">
                  <c:v>Furnishings</c:v>
                </c:pt>
                <c:pt idx="5">
                  <c:v>Art</c:v>
                </c:pt>
                <c:pt idx="6">
                  <c:v>Paper</c:v>
                </c:pt>
                <c:pt idx="7">
                  <c:v>Accessories</c:v>
                </c:pt>
                <c:pt idx="8">
                  <c:v>Fasteners</c:v>
                </c:pt>
                <c:pt idx="9">
                  <c:v>Labels</c:v>
                </c:pt>
                <c:pt idx="10">
                  <c:v>(blank)</c:v>
                </c:pt>
              </c:strCache>
            </c:strRef>
          </c:cat>
          <c:val>
            <c:numRef>
              <c:f>Sheet3!$I$6:$I$17</c:f>
              <c:numCache>
                <c:formatCode>General</c:formatCode>
                <c:ptCount val="11"/>
                <c:pt idx="0">
                  <c:v>2573.8200000000002</c:v>
                </c:pt>
                <c:pt idx="1">
                  <c:v>1147.94</c:v>
                </c:pt>
                <c:pt idx="2">
                  <c:v>623.94999999999993</c:v>
                </c:pt>
                <c:pt idx="3">
                  <c:v>272.74</c:v>
                </c:pt>
                <c:pt idx="4">
                  <c:v>138.61000000000001</c:v>
                </c:pt>
                <c:pt idx="5">
                  <c:v>47.14</c:v>
                </c:pt>
                <c:pt idx="6">
                  <c:v>42.43</c:v>
                </c:pt>
                <c:pt idx="7">
                  <c:v>31.2</c:v>
                </c:pt>
                <c:pt idx="8">
                  <c:v>31.12</c:v>
                </c:pt>
                <c:pt idx="9">
                  <c:v>14.67</c:v>
                </c:pt>
              </c:numCache>
            </c:numRef>
          </c:val>
          <c:extLst>
            <c:ext xmlns:c16="http://schemas.microsoft.com/office/drawing/2014/chart" uri="{C3380CC4-5D6E-409C-BE32-E72D297353CC}">
              <c16:uniqueId val="{00000000-834F-4E58-B363-068D94FC073B}"/>
            </c:ext>
          </c:extLst>
        </c:ser>
        <c:dLbls>
          <c:showLegendKey val="0"/>
          <c:showVal val="0"/>
          <c:showCatName val="0"/>
          <c:showSerName val="0"/>
          <c:showPercent val="0"/>
          <c:showBubbleSize val="0"/>
        </c:dLbls>
        <c:gapWidth val="219"/>
        <c:overlap val="-27"/>
        <c:axId val="1751219552"/>
        <c:axId val="1751220032"/>
      </c:barChart>
      <c:catAx>
        <c:axId val="17512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220032"/>
        <c:crosses val="autoZero"/>
        <c:auto val="1"/>
        <c:lblAlgn val="ctr"/>
        <c:lblOffset val="100"/>
        <c:noMultiLvlLbl val="0"/>
      </c:catAx>
      <c:valAx>
        <c:axId val="17512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21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dashboardL1.xlsx]Sheet3!PivotTable7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Sheet3!$R$8</c:f>
              <c:strCache>
                <c:ptCount val="1"/>
                <c:pt idx="0">
                  <c:v>Total</c:v>
                </c:pt>
              </c:strCache>
            </c:strRef>
          </c:tx>
          <c:spPr>
            <a:solidFill>
              <a:schemeClr val="accent1"/>
            </a:solidFill>
            <a:ln>
              <a:noFill/>
            </a:ln>
            <a:effectLst/>
          </c:spPr>
          <c:invertIfNegative val="0"/>
          <c:cat>
            <c:strRef>
              <c:f>Sheet3!$Q$9:$Q$10</c:f>
              <c:strCache>
                <c:ptCount val="1"/>
                <c:pt idx="0">
                  <c:v>2021</c:v>
                </c:pt>
              </c:strCache>
            </c:strRef>
          </c:cat>
          <c:val>
            <c:numRef>
              <c:f>Sheet3!$R$9:$R$10</c:f>
              <c:numCache>
                <c:formatCode>General</c:formatCode>
                <c:ptCount val="1"/>
                <c:pt idx="0">
                  <c:v>21</c:v>
                </c:pt>
              </c:numCache>
            </c:numRef>
          </c:val>
          <c:extLst>
            <c:ext xmlns:c16="http://schemas.microsoft.com/office/drawing/2014/chart" uri="{C3380CC4-5D6E-409C-BE32-E72D297353CC}">
              <c16:uniqueId val="{00000000-095D-4B27-AF27-4527AA71BDCD}"/>
            </c:ext>
          </c:extLst>
        </c:ser>
        <c:dLbls>
          <c:showLegendKey val="0"/>
          <c:showVal val="0"/>
          <c:showCatName val="0"/>
          <c:showSerName val="0"/>
          <c:showPercent val="0"/>
          <c:showBubbleSize val="0"/>
        </c:dLbls>
        <c:gapWidth val="182"/>
        <c:axId val="215473312"/>
        <c:axId val="215490112"/>
      </c:barChart>
      <c:catAx>
        <c:axId val="21547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90112"/>
        <c:crosses val="autoZero"/>
        <c:auto val="1"/>
        <c:lblAlgn val="ctr"/>
        <c:lblOffset val="100"/>
        <c:noMultiLvlLbl val="0"/>
      </c:catAx>
      <c:valAx>
        <c:axId val="215490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emf"/><Relationship Id="rId5" Type="http://schemas.openxmlformats.org/officeDocument/2006/relationships/image" Target="../media/image5.png"/><Relationship Id="rId10" Type="http://schemas.openxmlformats.org/officeDocument/2006/relationships/image" Target="../media/image8.emf"/><Relationship Id="rId4" Type="http://schemas.openxmlformats.org/officeDocument/2006/relationships/image" Target="../media/image4.sv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200025</xdr:colOff>
      <xdr:row>1</xdr:row>
      <xdr:rowOff>0</xdr:rowOff>
    </xdr:from>
    <xdr:to>
      <xdr:col>1</xdr:col>
      <xdr:colOff>783525</xdr:colOff>
      <xdr:row>5</xdr:row>
      <xdr:rowOff>109200</xdr:rowOff>
    </xdr:to>
    <xdr:sp macro="" textlink="">
      <xdr:nvSpPr>
        <xdr:cNvPr id="2" name="Rectangle: Rounded Corners 1">
          <a:extLst>
            <a:ext uri="{FF2B5EF4-FFF2-40B4-BE49-F238E27FC236}">
              <a16:creationId xmlns:a16="http://schemas.microsoft.com/office/drawing/2014/main" id="{723D9CE1-54D8-75EB-F760-ED9603EFAEC9}"/>
            </a:ext>
          </a:extLst>
        </xdr:cNvPr>
        <xdr:cNvSpPr/>
      </xdr:nvSpPr>
      <xdr:spPr>
        <a:xfrm>
          <a:off x="200025" y="190500"/>
          <a:ext cx="1231200" cy="871200"/>
        </a:xfrm>
        <a:prstGeom prst="roundRect">
          <a:avLst/>
        </a:prstGeom>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885824</xdr:colOff>
      <xdr:row>1</xdr:row>
      <xdr:rowOff>0</xdr:rowOff>
    </xdr:from>
    <xdr:to>
      <xdr:col>19</xdr:col>
      <xdr:colOff>0</xdr:colOff>
      <xdr:row>5</xdr:row>
      <xdr:rowOff>109200</xdr:rowOff>
    </xdr:to>
    <xdr:sp macro="" textlink="">
      <xdr:nvSpPr>
        <xdr:cNvPr id="3" name="Rectangle: Rounded Corners 2">
          <a:extLst>
            <a:ext uri="{FF2B5EF4-FFF2-40B4-BE49-F238E27FC236}">
              <a16:creationId xmlns:a16="http://schemas.microsoft.com/office/drawing/2014/main" id="{2BD21F0C-7B7D-4305-B683-5E953585E0E2}"/>
            </a:ext>
          </a:extLst>
        </xdr:cNvPr>
        <xdr:cNvSpPr/>
      </xdr:nvSpPr>
      <xdr:spPr>
        <a:xfrm>
          <a:off x="1619249" y="190500"/>
          <a:ext cx="10458451" cy="871200"/>
        </a:xfrm>
        <a:prstGeom prst="roundRect">
          <a:avLst/>
        </a:prstGeom>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6</xdr:row>
      <xdr:rowOff>0</xdr:rowOff>
    </xdr:from>
    <xdr:to>
      <xdr:col>1</xdr:col>
      <xdr:colOff>974025</xdr:colOff>
      <xdr:row>37</xdr:row>
      <xdr:rowOff>0</xdr:rowOff>
    </xdr:to>
    <xdr:sp macro="" textlink="">
      <xdr:nvSpPr>
        <xdr:cNvPr id="9" name="Rectangle: Rounded Corners 8">
          <a:extLst>
            <a:ext uri="{FF2B5EF4-FFF2-40B4-BE49-F238E27FC236}">
              <a16:creationId xmlns:a16="http://schemas.microsoft.com/office/drawing/2014/main" id="{063299C1-1A3D-4ED2-BB0A-2DD65B1FF4EF}"/>
            </a:ext>
          </a:extLst>
        </xdr:cNvPr>
        <xdr:cNvSpPr/>
      </xdr:nvSpPr>
      <xdr:spPr>
        <a:xfrm>
          <a:off x="304800" y="1143000"/>
          <a:ext cx="1316925" cy="5953125"/>
        </a:xfrm>
        <a:prstGeom prst="roundRect">
          <a:avLst/>
        </a:prstGeom>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6</xdr:row>
      <xdr:rowOff>86400</xdr:rowOff>
    </xdr:from>
    <xdr:to>
      <xdr:col>5</xdr:col>
      <xdr:colOff>158400</xdr:colOff>
      <xdr:row>10</xdr:row>
      <xdr:rowOff>152400</xdr:rowOff>
    </xdr:to>
    <xdr:sp macro="" textlink="">
      <xdr:nvSpPr>
        <xdr:cNvPr id="10" name="Rectangle: Rounded Corners 9">
          <a:extLst>
            <a:ext uri="{FF2B5EF4-FFF2-40B4-BE49-F238E27FC236}">
              <a16:creationId xmlns:a16="http://schemas.microsoft.com/office/drawing/2014/main" id="{0DFF69E9-7F58-4C2A-AFD1-FF973E70B5C3}"/>
            </a:ext>
          </a:extLst>
        </xdr:cNvPr>
        <xdr:cNvSpPr/>
      </xdr:nvSpPr>
      <xdr:spPr>
        <a:xfrm>
          <a:off x="1714500" y="1229400"/>
          <a:ext cx="1987200" cy="828000"/>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5</xdr:col>
      <xdr:colOff>451200</xdr:colOff>
      <xdr:row>6</xdr:row>
      <xdr:rowOff>124500</xdr:rowOff>
    </xdr:from>
    <xdr:to>
      <xdr:col>9</xdr:col>
      <xdr:colOff>0</xdr:colOff>
      <xdr:row>11</xdr:row>
      <xdr:rowOff>0</xdr:rowOff>
    </xdr:to>
    <xdr:sp macro="" textlink="">
      <xdr:nvSpPr>
        <xdr:cNvPr id="11" name="Rectangle: Rounded Corners 10">
          <a:extLst>
            <a:ext uri="{FF2B5EF4-FFF2-40B4-BE49-F238E27FC236}">
              <a16:creationId xmlns:a16="http://schemas.microsoft.com/office/drawing/2014/main" id="{ABD6E912-9AB7-4D2F-8E49-42BA88BE9DEF}"/>
            </a:ext>
          </a:extLst>
        </xdr:cNvPr>
        <xdr:cNvSpPr/>
      </xdr:nvSpPr>
      <xdr:spPr>
        <a:xfrm>
          <a:off x="3994500" y="1267500"/>
          <a:ext cx="1987200" cy="828000"/>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12</xdr:row>
      <xdr:rowOff>0</xdr:rowOff>
    </xdr:from>
    <xdr:to>
      <xdr:col>9</xdr:col>
      <xdr:colOff>0</xdr:colOff>
      <xdr:row>23</xdr:row>
      <xdr:rowOff>0</xdr:rowOff>
    </xdr:to>
    <xdr:sp macro="" textlink="">
      <xdr:nvSpPr>
        <xdr:cNvPr id="12" name="Rectangle: Rounded Corners 11">
          <a:extLst>
            <a:ext uri="{FF2B5EF4-FFF2-40B4-BE49-F238E27FC236}">
              <a16:creationId xmlns:a16="http://schemas.microsoft.com/office/drawing/2014/main" id="{7BCD8AC9-953B-4D07-AF33-C7730A7415AE}"/>
            </a:ext>
          </a:extLst>
        </xdr:cNvPr>
        <xdr:cNvSpPr/>
      </xdr:nvSpPr>
      <xdr:spPr>
        <a:xfrm>
          <a:off x="1714500" y="2286000"/>
          <a:ext cx="4267200" cy="2095500"/>
        </a:xfrm>
        <a:prstGeom prst="roundRect">
          <a:avLst/>
        </a:prstGeom>
        <a:solidFill>
          <a:schemeClr val="accent5">
            <a:lumMod val="40000"/>
            <a:lumOff val="60000"/>
          </a:schemeClr>
        </a:solidFill>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276225</xdr:colOff>
      <xdr:row>6</xdr:row>
      <xdr:rowOff>9524</xdr:rowOff>
    </xdr:from>
    <xdr:to>
      <xdr:col>13</xdr:col>
      <xdr:colOff>533400</xdr:colOff>
      <xdr:row>27</xdr:row>
      <xdr:rowOff>0</xdr:rowOff>
    </xdr:to>
    <xdr:sp macro="" textlink="">
      <xdr:nvSpPr>
        <xdr:cNvPr id="14" name="Rectangle: Rounded Corners 13">
          <a:extLst>
            <a:ext uri="{FF2B5EF4-FFF2-40B4-BE49-F238E27FC236}">
              <a16:creationId xmlns:a16="http://schemas.microsoft.com/office/drawing/2014/main" id="{DF30A39F-FF79-40B4-81A2-6539D36D2922}"/>
            </a:ext>
          </a:extLst>
        </xdr:cNvPr>
        <xdr:cNvSpPr/>
      </xdr:nvSpPr>
      <xdr:spPr>
        <a:xfrm>
          <a:off x="6257925" y="1152524"/>
          <a:ext cx="2695575" cy="3990976"/>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24</xdr:row>
      <xdr:rowOff>9525</xdr:rowOff>
    </xdr:from>
    <xdr:to>
      <xdr:col>9</xdr:col>
      <xdr:colOff>0</xdr:colOff>
      <xdr:row>35</xdr:row>
      <xdr:rowOff>9525</xdr:rowOff>
    </xdr:to>
    <xdr:sp macro="" textlink="">
      <xdr:nvSpPr>
        <xdr:cNvPr id="15" name="Rectangle: Rounded Corners 14">
          <a:extLst>
            <a:ext uri="{FF2B5EF4-FFF2-40B4-BE49-F238E27FC236}">
              <a16:creationId xmlns:a16="http://schemas.microsoft.com/office/drawing/2014/main" id="{61EE52AB-42AC-4E9F-B7D4-C1DC168D9BE4}"/>
            </a:ext>
          </a:extLst>
        </xdr:cNvPr>
        <xdr:cNvSpPr/>
      </xdr:nvSpPr>
      <xdr:spPr>
        <a:xfrm>
          <a:off x="1714500" y="4581525"/>
          <a:ext cx="4267200" cy="2095500"/>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352425</xdr:colOff>
      <xdr:row>6</xdr:row>
      <xdr:rowOff>9524</xdr:rowOff>
    </xdr:from>
    <xdr:to>
      <xdr:col>19</xdr:col>
      <xdr:colOff>0</xdr:colOff>
      <xdr:row>16</xdr:row>
      <xdr:rowOff>0</xdr:rowOff>
    </xdr:to>
    <xdr:sp macro="" textlink="">
      <xdr:nvSpPr>
        <xdr:cNvPr id="16" name="Rectangle: Rounded Corners 15">
          <a:extLst>
            <a:ext uri="{FF2B5EF4-FFF2-40B4-BE49-F238E27FC236}">
              <a16:creationId xmlns:a16="http://schemas.microsoft.com/office/drawing/2014/main" id="{D2852AEC-9896-46CA-B879-57C0070DC92D}"/>
            </a:ext>
          </a:extLst>
        </xdr:cNvPr>
        <xdr:cNvSpPr/>
      </xdr:nvSpPr>
      <xdr:spPr>
        <a:xfrm>
          <a:off x="9382125" y="1152524"/>
          <a:ext cx="2695575" cy="1895476"/>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219074</xdr:colOff>
      <xdr:row>27</xdr:row>
      <xdr:rowOff>180975</xdr:rowOff>
    </xdr:from>
    <xdr:to>
      <xdr:col>18</xdr:col>
      <xdr:colOff>609599</xdr:colOff>
      <xdr:row>36</xdr:row>
      <xdr:rowOff>0</xdr:rowOff>
    </xdr:to>
    <xdr:sp macro="" textlink="">
      <xdr:nvSpPr>
        <xdr:cNvPr id="17" name="Rectangle: Rounded Corners 16">
          <a:extLst>
            <a:ext uri="{FF2B5EF4-FFF2-40B4-BE49-F238E27FC236}">
              <a16:creationId xmlns:a16="http://schemas.microsoft.com/office/drawing/2014/main" id="{E81E989F-F176-42BE-8283-7F50BBDE429D}"/>
            </a:ext>
          </a:extLst>
        </xdr:cNvPr>
        <xdr:cNvSpPr/>
      </xdr:nvSpPr>
      <xdr:spPr>
        <a:xfrm>
          <a:off x="6200774" y="5324475"/>
          <a:ext cx="5876925" cy="1533525"/>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352425</xdr:colOff>
      <xdr:row>17</xdr:row>
      <xdr:rowOff>9524</xdr:rowOff>
    </xdr:from>
    <xdr:to>
      <xdr:col>19</xdr:col>
      <xdr:colOff>0</xdr:colOff>
      <xdr:row>27</xdr:row>
      <xdr:rowOff>0</xdr:rowOff>
    </xdr:to>
    <xdr:sp macro="" textlink="">
      <xdr:nvSpPr>
        <xdr:cNvPr id="18" name="Rectangle: Rounded Corners 17">
          <a:extLst>
            <a:ext uri="{FF2B5EF4-FFF2-40B4-BE49-F238E27FC236}">
              <a16:creationId xmlns:a16="http://schemas.microsoft.com/office/drawing/2014/main" id="{6D80E16F-E3B6-4518-99BB-9951A3B2B9C9}"/>
            </a:ext>
          </a:extLst>
        </xdr:cNvPr>
        <xdr:cNvSpPr/>
      </xdr:nvSpPr>
      <xdr:spPr>
        <a:xfrm>
          <a:off x="9382125" y="3248024"/>
          <a:ext cx="2695575" cy="1895476"/>
        </a:xfrm>
        <a:prstGeom prst="roundRect">
          <a:avLst/>
        </a:prstGeom>
        <a:solidFill>
          <a:schemeClr val="accent5">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447675</xdr:colOff>
      <xdr:row>1</xdr:row>
      <xdr:rowOff>95250</xdr:rowOff>
    </xdr:from>
    <xdr:to>
      <xdr:col>15</xdr:col>
      <xdr:colOff>447675</xdr:colOff>
      <xdr:row>5</xdr:row>
      <xdr:rowOff>0</xdr:rowOff>
    </xdr:to>
    <xdr:sp macro="" textlink="">
      <xdr:nvSpPr>
        <xdr:cNvPr id="19" name="Rectangle 18">
          <a:extLst>
            <a:ext uri="{FF2B5EF4-FFF2-40B4-BE49-F238E27FC236}">
              <a16:creationId xmlns:a16="http://schemas.microsoft.com/office/drawing/2014/main" id="{0841082B-93AD-709C-75EC-0A237437B17F}"/>
            </a:ext>
          </a:extLst>
        </xdr:cNvPr>
        <xdr:cNvSpPr/>
      </xdr:nvSpPr>
      <xdr:spPr>
        <a:xfrm>
          <a:off x="2771775" y="285750"/>
          <a:ext cx="7315200" cy="66675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a:solidFill>
                <a:schemeClr val="bg1"/>
              </a:solidFill>
            </a:rPr>
            <a:t>SALES AND PROFIT DASHBOARD</a:t>
          </a:r>
        </a:p>
      </xdr:txBody>
    </xdr:sp>
    <xdr:clientData/>
  </xdr:twoCellAnchor>
  <xdr:twoCellAnchor editAs="oneCell">
    <xdr:from>
      <xdr:col>2</xdr:col>
      <xdr:colOff>28575</xdr:colOff>
      <xdr:row>1</xdr:row>
      <xdr:rowOff>0</xdr:rowOff>
    </xdr:from>
    <xdr:to>
      <xdr:col>3</xdr:col>
      <xdr:colOff>333375</xdr:colOff>
      <xdr:row>5</xdr:row>
      <xdr:rowOff>152400</xdr:rowOff>
    </xdr:to>
    <xdr:pic>
      <xdr:nvPicPr>
        <xdr:cNvPr id="21" name="Graphic 20" descr="Bar graph with upward trend with solid fill">
          <a:extLst>
            <a:ext uri="{FF2B5EF4-FFF2-40B4-BE49-F238E27FC236}">
              <a16:creationId xmlns:a16="http://schemas.microsoft.com/office/drawing/2014/main" id="{76FDC7EE-C004-EFC6-5DDD-78CB66A4EE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43075" y="190500"/>
          <a:ext cx="914400" cy="914400"/>
        </a:xfrm>
        <a:prstGeom prst="rect">
          <a:avLst/>
        </a:prstGeom>
      </xdr:spPr>
    </xdr:pic>
    <xdr:clientData/>
  </xdr:twoCellAnchor>
  <xdr:twoCellAnchor editAs="oneCell">
    <xdr:from>
      <xdr:col>2</xdr:col>
      <xdr:colOff>19050</xdr:colOff>
      <xdr:row>6</xdr:row>
      <xdr:rowOff>171450</xdr:rowOff>
    </xdr:from>
    <xdr:to>
      <xdr:col>3</xdr:col>
      <xdr:colOff>19050</xdr:colOff>
      <xdr:row>10</xdr:row>
      <xdr:rowOff>171450</xdr:rowOff>
    </xdr:to>
    <xdr:pic>
      <xdr:nvPicPr>
        <xdr:cNvPr id="23" name="Graphic 22" descr="Bar chart with solid fill">
          <a:extLst>
            <a:ext uri="{FF2B5EF4-FFF2-40B4-BE49-F238E27FC236}">
              <a16:creationId xmlns:a16="http://schemas.microsoft.com/office/drawing/2014/main" id="{FE2E3A19-1216-DB53-A48E-4173C66A40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33550" y="1314450"/>
          <a:ext cx="609600" cy="762000"/>
        </a:xfrm>
        <a:prstGeom prst="rect">
          <a:avLst/>
        </a:prstGeom>
      </xdr:spPr>
    </xdr:pic>
    <xdr:clientData/>
  </xdr:twoCellAnchor>
  <xdr:oneCellAnchor>
    <xdr:from>
      <xdr:col>7</xdr:col>
      <xdr:colOff>0</xdr:colOff>
      <xdr:row>6</xdr:row>
      <xdr:rowOff>79029</xdr:rowOff>
    </xdr:from>
    <xdr:ext cx="1524000" cy="311496"/>
    <xdr:sp macro="" textlink="">
      <xdr:nvSpPr>
        <xdr:cNvPr id="26" name="TextBox 25">
          <a:extLst>
            <a:ext uri="{FF2B5EF4-FFF2-40B4-BE49-F238E27FC236}">
              <a16:creationId xmlns:a16="http://schemas.microsoft.com/office/drawing/2014/main" id="{A0A0D081-827C-2EEC-9B35-D6A94648C6FB}"/>
            </a:ext>
          </a:extLst>
        </xdr:cNvPr>
        <xdr:cNvSpPr txBox="1"/>
      </xdr:nvSpPr>
      <xdr:spPr>
        <a:xfrm>
          <a:off x="4762500" y="1222029"/>
          <a:ext cx="15240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TOTAL</a:t>
          </a:r>
          <a:r>
            <a:rPr lang="en-IN" sz="1400" b="1" baseline="0"/>
            <a:t> PROFIT</a:t>
          </a:r>
          <a:endParaRPr lang="en-IN" sz="1400" b="1"/>
        </a:p>
      </xdr:txBody>
    </xdr:sp>
    <xdr:clientData/>
  </xdr:oneCellAnchor>
  <xdr:twoCellAnchor editAs="oneCell">
    <xdr:from>
      <xdr:col>5</xdr:col>
      <xdr:colOff>466725</xdr:colOff>
      <xdr:row>6</xdr:row>
      <xdr:rowOff>0</xdr:rowOff>
    </xdr:from>
    <xdr:to>
      <xdr:col>7</xdr:col>
      <xdr:colOff>0</xdr:colOff>
      <xdr:row>10</xdr:row>
      <xdr:rowOff>152400</xdr:rowOff>
    </xdr:to>
    <xdr:pic>
      <xdr:nvPicPr>
        <xdr:cNvPr id="28" name="Graphic 27" descr="Coins with solid fill">
          <a:extLst>
            <a:ext uri="{FF2B5EF4-FFF2-40B4-BE49-F238E27FC236}">
              <a16:creationId xmlns:a16="http://schemas.microsoft.com/office/drawing/2014/main" id="{9558CE83-D353-9B62-A8E9-4071766DB1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10025" y="1143000"/>
          <a:ext cx="752475" cy="914400"/>
        </a:xfrm>
        <a:prstGeom prst="rect">
          <a:avLst/>
        </a:prstGeom>
      </xdr:spPr>
    </xdr:pic>
    <xdr:clientData/>
  </xdr:twoCellAnchor>
  <xdr:oneCellAnchor>
    <xdr:from>
      <xdr:col>5</xdr:col>
      <xdr:colOff>0</xdr:colOff>
      <xdr:row>9</xdr:row>
      <xdr:rowOff>0</xdr:rowOff>
    </xdr:from>
    <xdr:ext cx="184731" cy="264560"/>
    <xdr:sp macro="" textlink="">
      <xdr:nvSpPr>
        <xdr:cNvPr id="31" name="TextBox 30">
          <a:extLst>
            <a:ext uri="{FF2B5EF4-FFF2-40B4-BE49-F238E27FC236}">
              <a16:creationId xmlns:a16="http://schemas.microsoft.com/office/drawing/2014/main" id="{3B6120B3-56B6-44C0-EE06-8A12D46924F1}"/>
            </a:ext>
          </a:extLst>
        </xdr:cNvPr>
        <xdr:cNvSpPr txBox="1"/>
      </xdr:nvSpPr>
      <xdr:spPr>
        <a:xfrm>
          <a:off x="3543300" y="171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28575</xdr:colOff>
      <xdr:row>8</xdr:row>
      <xdr:rowOff>59290</xdr:rowOff>
    </xdr:from>
    <xdr:ext cx="1227708" cy="311496"/>
    <xdr:sp macro="" textlink="">
      <xdr:nvSpPr>
        <xdr:cNvPr id="36" name="TextBox 35">
          <a:extLst>
            <a:ext uri="{FF2B5EF4-FFF2-40B4-BE49-F238E27FC236}">
              <a16:creationId xmlns:a16="http://schemas.microsoft.com/office/drawing/2014/main" id="{BE7547F4-71E1-7D1E-71A3-03170DC2E38C}"/>
            </a:ext>
          </a:extLst>
        </xdr:cNvPr>
        <xdr:cNvSpPr txBox="1"/>
      </xdr:nvSpPr>
      <xdr:spPr>
        <a:xfrm>
          <a:off x="4791075" y="1583290"/>
          <a:ext cx="12277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 </a:t>
          </a:r>
          <a:r>
            <a:rPr lang="en-IN" sz="1400" b="1" i="0" u="none" strike="noStrike">
              <a:solidFill>
                <a:schemeClr val="tx1"/>
              </a:solidFill>
              <a:effectLst/>
              <a:latin typeface="+mn-lt"/>
              <a:ea typeface="+mn-ea"/>
              <a:cs typeface="+mn-cs"/>
            </a:rPr>
            <a:t>$      1,267.19 </a:t>
          </a:r>
          <a:endParaRPr lang="en-IN" sz="1400" b="1"/>
        </a:p>
      </xdr:txBody>
    </xdr:sp>
    <xdr:clientData/>
  </xdr:oneCellAnchor>
  <xdr:oneCellAnchor>
    <xdr:from>
      <xdr:col>3</xdr:col>
      <xdr:colOff>0</xdr:colOff>
      <xdr:row>8</xdr:row>
      <xdr:rowOff>76200</xdr:rowOff>
    </xdr:from>
    <xdr:ext cx="1227708" cy="311496"/>
    <xdr:sp macro="" textlink="">
      <xdr:nvSpPr>
        <xdr:cNvPr id="41" name="TextBox 40">
          <a:extLst>
            <a:ext uri="{FF2B5EF4-FFF2-40B4-BE49-F238E27FC236}">
              <a16:creationId xmlns:a16="http://schemas.microsoft.com/office/drawing/2014/main" id="{32A6FDB2-6552-BABC-6F24-5ED98F5878B2}"/>
            </a:ext>
          </a:extLst>
        </xdr:cNvPr>
        <xdr:cNvSpPr txBox="1"/>
      </xdr:nvSpPr>
      <xdr:spPr>
        <a:xfrm>
          <a:off x="2324100" y="1600200"/>
          <a:ext cx="12277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 </a:t>
          </a:r>
          <a:r>
            <a:rPr lang="en-IN" sz="1400" b="1" i="0" u="none" strike="noStrike">
              <a:solidFill>
                <a:schemeClr val="tx1"/>
              </a:solidFill>
              <a:effectLst/>
              <a:latin typeface="+mn-lt"/>
              <a:ea typeface="+mn-ea"/>
              <a:cs typeface="+mn-cs"/>
            </a:rPr>
            <a:t>$      4,923.62 </a:t>
          </a:r>
          <a:endParaRPr lang="en-IN" sz="1400" b="1"/>
        </a:p>
      </xdr:txBody>
    </xdr:sp>
    <xdr:clientData/>
  </xdr:oneCellAnchor>
  <xdr:twoCellAnchor editAs="oneCell">
    <xdr:from>
      <xdr:col>5</xdr:col>
      <xdr:colOff>523875</xdr:colOff>
      <xdr:row>25</xdr:row>
      <xdr:rowOff>85725</xdr:rowOff>
    </xdr:from>
    <xdr:to>
      <xdr:col>8</xdr:col>
      <xdr:colOff>190500</xdr:colOff>
      <xdr:row>32</xdr:row>
      <xdr:rowOff>85725</xdr:rowOff>
    </xdr:to>
    <mc:AlternateContent xmlns:mc="http://schemas.openxmlformats.org/markup-compatibility/2006">
      <mc:Choice xmlns:a14="http://schemas.microsoft.com/office/drawing/2010/main" Requires="a14">
        <xdr:graphicFrame macro="">
          <xdr:nvGraphicFramePr>
            <xdr:cNvPr id="42" name="Profit 1">
              <a:extLst>
                <a:ext uri="{FF2B5EF4-FFF2-40B4-BE49-F238E27FC236}">
                  <a16:creationId xmlns:a16="http://schemas.microsoft.com/office/drawing/2014/main" id="{F85D83F0-3A72-4A3B-9060-50E8649290E5}"/>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dr:sp macro="" textlink="">
          <xdr:nvSpPr>
            <xdr:cNvPr id="0" name=""/>
            <xdr:cNvSpPr>
              <a:spLocks noTextEdit="1"/>
            </xdr:cNvSpPr>
          </xdr:nvSpPr>
          <xdr:spPr>
            <a:xfrm>
              <a:off x="4076700" y="4848225"/>
              <a:ext cx="1495425"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12</xdr:row>
      <xdr:rowOff>0</xdr:rowOff>
    </xdr:from>
    <xdr:to>
      <xdr:col>8</xdr:col>
      <xdr:colOff>0</xdr:colOff>
      <xdr:row>22</xdr:row>
      <xdr:rowOff>180975</xdr:rowOff>
    </xdr:to>
    <xdr:graphicFrame macro="">
      <xdr:nvGraphicFramePr>
        <xdr:cNvPr id="43" name="Chart 42">
          <a:extLst>
            <a:ext uri="{FF2B5EF4-FFF2-40B4-BE49-F238E27FC236}">
              <a16:creationId xmlns:a16="http://schemas.microsoft.com/office/drawing/2014/main" id="{6171F806-438B-4C54-A4CC-2562B2008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6</xdr:row>
      <xdr:rowOff>104775</xdr:rowOff>
    </xdr:from>
    <xdr:to>
      <xdr:col>13</xdr:col>
      <xdr:colOff>0</xdr:colOff>
      <xdr:row>26</xdr:row>
      <xdr:rowOff>161925</xdr:rowOff>
    </xdr:to>
    <xdr:pic>
      <xdr:nvPicPr>
        <xdr:cNvPr id="44" name="Picture 43">
          <a:extLst>
            <a:ext uri="{FF2B5EF4-FFF2-40B4-BE49-F238E27FC236}">
              <a16:creationId xmlns:a16="http://schemas.microsoft.com/office/drawing/2014/main" id="{8FBBEFE2-E89F-8054-E993-E088B7C77DA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91300" y="1247775"/>
          <a:ext cx="1828800" cy="3867150"/>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7</xdr:row>
      <xdr:rowOff>0</xdr:rowOff>
    </xdr:from>
    <xdr:to>
      <xdr:col>18</xdr:col>
      <xdr:colOff>304800</xdr:colOff>
      <xdr:row>15</xdr:row>
      <xdr:rowOff>0</xdr:rowOff>
    </xdr:to>
    <mc:AlternateContent xmlns:mc="http://schemas.openxmlformats.org/markup-compatibility/2006">
      <mc:Choice xmlns:a14="http://schemas.microsoft.com/office/drawing/2010/main" Requires="a14">
        <xdr:graphicFrame macro="">
          <xdr:nvGraphicFramePr>
            <xdr:cNvPr id="45" name="Sales 1">
              <a:extLst>
                <a:ext uri="{FF2B5EF4-FFF2-40B4-BE49-F238E27FC236}">
                  <a16:creationId xmlns:a16="http://schemas.microsoft.com/office/drawing/2014/main" id="{E91C203A-7A01-4388-ABD4-993EBEFF2F0C}"/>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9648825" y="1333500"/>
              <a:ext cx="21336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476250</xdr:colOff>
      <xdr:row>17</xdr:row>
      <xdr:rowOff>104775</xdr:rowOff>
    </xdr:from>
    <xdr:to>
      <xdr:col>18</xdr:col>
      <xdr:colOff>476250</xdr:colOff>
      <xdr:row>26</xdr:row>
      <xdr:rowOff>38099</xdr:rowOff>
    </xdr:to>
    <xdr:graphicFrame macro="">
      <xdr:nvGraphicFramePr>
        <xdr:cNvPr id="46" name="Chart 45">
          <a:extLst>
            <a:ext uri="{FF2B5EF4-FFF2-40B4-BE49-F238E27FC236}">
              <a16:creationId xmlns:a16="http://schemas.microsoft.com/office/drawing/2014/main" id="{8BFE8454-E55C-41CB-9717-71E86B6CB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438150</xdr:colOff>
      <xdr:row>25</xdr:row>
      <xdr:rowOff>104775</xdr:rowOff>
    </xdr:from>
    <xdr:to>
      <xdr:col>4</xdr:col>
      <xdr:colOff>581025</xdr:colOff>
      <xdr:row>32</xdr:row>
      <xdr:rowOff>152400</xdr:rowOff>
    </xdr:to>
    <mc:AlternateContent xmlns:mc="http://schemas.openxmlformats.org/markup-compatibility/2006">
      <mc:Choice xmlns:a14="http://schemas.microsoft.com/office/drawing/2010/main" Requires="a14">
        <xdr:graphicFrame macro="">
          <xdr:nvGraphicFramePr>
            <xdr:cNvPr id="48" name="Sales 2">
              <a:extLst>
                <a:ext uri="{FF2B5EF4-FFF2-40B4-BE49-F238E27FC236}">
                  <a16:creationId xmlns:a16="http://schemas.microsoft.com/office/drawing/2014/main" id="{E421FDBF-9E1C-4ECD-A9ED-6760B55A723F}"/>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dr:sp macro="" textlink="">
          <xdr:nvSpPr>
            <xdr:cNvPr id="0" name=""/>
            <xdr:cNvSpPr>
              <a:spLocks noTextEdit="1"/>
            </xdr:cNvSpPr>
          </xdr:nvSpPr>
          <xdr:spPr>
            <a:xfrm>
              <a:off x="2162175" y="4867275"/>
              <a:ext cx="136207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8</xdr:row>
      <xdr:rowOff>180186</xdr:rowOff>
    </xdr:from>
    <xdr:to>
      <xdr:col>1</xdr:col>
      <xdr:colOff>889500</xdr:colOff>
      <xdr:row>30</xdr:row>
      <xdr:rowOff>0</xdr:rowOff>
    </xdr:to>
    <xdr:pic>
      <xdr:nvPicPr>
        <xdr:cNvPr id="49" name="Picture 48">
          <a:extLst>
            <a:ext uri="{FF2B5EF4-FFF2-40B4-BE49-F238E27FC236}">
              <a16:creationId xmlns:a16="http://schemas.microsoft.com/office/drawing/2014/main" id="{5C38F5CE-3667-DB32-C6EB-36B26A8362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57200" y="1704186"/>
          <a:ext cx="1080000" cy="4058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476250</xdr:colOff>
      <xdr:row>29</xdr:row>
      <xdr:rowOff>171450</xdr:rowOff>
    </xdr:from>
    <xdr:to>
      <xdr:col>13</xdr:col>
      <xdr:colOff>171450</xdr:colOff>
      <xdr:row>34</xdr:row>
      <xdr:rowOff>0</xdr:rowOff>
    </xdr:to>
    <xdr:pic>
      <xdr:nvPicPr>
        <xdr:cNvPr id="50" name="Picture 49">
          <a:extLst>
            <a:ext uri="{FF2B5EF4-FFF2-40B4-BE49-F238E27FC236}">
              <a16:creationId xmlns:a16="http://schemas.microsoft.com/office/drawing/2014/main" id="{4202FAB4-5459-75D9-C4B2-CC4BE18E99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467475" y="5743575"/>
          <a:ext cx="21336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28</xdr:row>
      <xdr:rowOff>0</xdr:rowOff>
    </xdr:from>
    <xdr:to>
      <xdr:col>18</xdr:col>
      <xdr:colOff>304800</xdr:colOff>
      <xdr:row>35</xdr:row>
      <xdr:rowOff>95250</xdr:rowOff>
    </xdr:to>
    <xdr:graphicFrame macro="">
      <xdr:nvGraphicFramePr>
        <xdr:cNvPr id="51" name="Chart 50">
          <a:extLst>
            <a:ext uri="{FF2B5EF4-FFF2-40B4-BE49-F238E27FC236}">
              <a16:creationId xmlns:a16="http://schemas.microsoft.com/office/drawing/2014/main" id="{98663268-19E7-4E05-B5A5-2A2B1F5B4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381000</xdr:colOff>
      <xdr:row>9</xdr:row>
      <xdr:rowOff>76200</xdr:rowOff>
    </xdr:from>
    <xdr:to>
      <xdr:col>5</xdr:col>
      <xdr:colOff>723900</xdr:colOff>
      <xdr:row>21</xdr:row>
      <xdr:rowOff>314325</xdr:rowOff>
    </xdr:to>
    <mc:AlternateContent xmlns:mc="http://schemas.openxmlformats.org/markup-compatibility/2006">
      <mc:Choice xmlns:a14="http://schemas.microsoft.com/office/drawing/2010/main" Requires="a14">
        <xdr:graphicFrame macro="">
          <xdr:nvGraphicFramePr>
            <xdr:cNvPr id="2" name="Profit">
              <a:extLst>
                <a:ext uri="{FF2B5EF4-FFF2-40B4-BE49-F238E27FC236}">
                  <a16:creationId xmlns:a16="http://schemas.microsoft.com/office/drawing/2014/main" id="{290FAD13-405A-98C4-B7EE-E1A8A022BC01}"/>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2667000" y="1943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18</xdr:row>
      <xdr:rowOff>57150</xdr:rowOff>
    </xdr:from>
    <xdr:to>
      <xdr:col>5</xdr:col>
      <xdr:colOff>742950</xdr:colOff>
      <xdr:row>30</xdr:row>
      <xdr:rowOff>133350</xdr:rowOff>
    </xdr:to>
    <xdr:graphicFrame macro="">
      <xdr:nvGraphicFramePr>
        <xdr:cNvPr id="3" name="Chart 2">
          <a:extLst>
            <a:ext uri="{FF2B5EF4-FFF2-40B4-BE49-F238E27FC236}">
              <a16:creationId xmlns:a16="http://schemas.microsoft.com/office/drawing/2014/main" id="{6A036CDA-5147-8500-C33B-B44C6003E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523875</xdr:colOff>
      <xdr:row>19</xdr:row>
      <xdr:rowOff>1</xdr:rowOff>
    </xdr:from>
    <xdr:to>
      <xdr:col>10</xdr:col>
      <xdr:colOff>466725</xdr:colOff>
      <xdr:row>24</xdr:row>
      <xdr:rowOff>95251</xdr:rowOff>
    </xdr:to>
    <mc:AlternateContent xmlns:mc="http://schemas.openxmlformats.org/markup-compatibility/2006">
      <mc:Choice xmlns:a14="http://schemas.microsoft.com/office/drawing/2010/main" Requires="a14">
        <xdr:graphicFrame macro="">
          <xdr:nvGraphicFramePr>
            <xdr:cNvPr id="4" name="Sales">
              <a:extLst>
                <a:ext uri="{FF2B5EF4-FFF2-40B4-BE49-F238E27FC236}">
                  <a16:creationId xmlns:a16="http://schemas.microsoft.com/office/drawing/2014/main" id="{88BA6248-BE12-D1F4-290E-361526AA361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6619875" y="3771901"/>
              <a:ext cx="136207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795337</xdr:colOff>
      <xdr:row>12</xdr:row>
      <xdr:rowOff>85725</xdr:rowOff>
    </xdr:from>
    <xdr:to>
      <xdr:col>11</xdr:col>
      <xdr:colOff>0</xdr:colOff>
      <xdr:row>24</xdr:row>
      <xdr:rowOff>161925</xdr:rowOff>
    </xdr:to>
    <xdr:graphicFrame macro="">
      <xdr:nvGraphicFramePr>
        <xdr:cNvPr id="5" name="Chart 4">
          <a:extLst>
            <a:ext uri="{FF2B5EF4-FFF2-40B4-BE49-F238E27FC236}">
              <a16:creationId xmlns:a16="http://schemas.microsoft.com/office/drawing/2014/main" id="{A2FD8FDA-913C-0148-6F1C-219E4825B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161925</xdr:colOff>
      <xdr:row>13</xdr:row>
      <xdr:rowOff>190499</xdr:rowOff>
    </xdr:from>
    <xdr:to>
      <xdr:col>10</xdr:col>
      <xdr:colOff>0</xdr:colOff>
      <xdr:row>22</xdr:row>
      <xdr:rowOff>357186</xdr:rowOff>
    </xdr:to>
    <xdr:graphicFrame macro="">
      <xdr:nvGraphicFramePr>
        <xdr:cNvPr id="6" name="Chart 5">
          <a:extLst>
            <a:ext uri="{FF2B5EF4-FFF2-40B4-BE49-F238E27FC236}">
              <a16:creationId xmlns:a16="http://schemas.microsoft.com/office/drawing/2014/main" id="{E3D75381-83AF-700B-08F4-2D24DA330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28575</xdr:colOff>
      <xdr:row>12</xdr:row>
      <xdr:rowOff>9525</xdr:rowOff>
    </xdr:from>
    <xdr:to>
      <xdr:col>13</xdr:col>
      <xdr:colOff>28575</xdr:colOff>
      <xdr:row>25</xdr:row>
      <xdr:rowOff>57150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128605CE-EF9F-E2E4-F1CA-75593A9973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53200" y="2295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81.398528240738" createdVersion="8" refreshedVersion="8" minRefreshableVersion="3" recordCount="22" xr:uid="{98A42EA9-DBC8-4EEF-BC5B-ACC053289AAD}">
  <cacheSource type="worksheet">
    <worksheetSource name="Table1"/>
  </cacheSource>
  <cacheFields count="10">
    <cacheField name="Order Date" numFmtId="0">
      <sharedItems containsNonDate="0" containsDate="1" containsString="0" containsBlank="1" minDate="2021-01-03T00:00:00" maxDate="2021-01-12T00:00:00"/>
    </cacheField>
    <cacheField name="Customer Name" numFmtId="0">
      <sharedItems containsBlank="1"/>
    </cacheField>
    <cacheField name="State" numFmtId="0">
      <sharedItems containsBlank="1"/>
    </cacheField>
    <cacheField name="Category" numFmtId="0">
      <sharedItems containsBlank="1"/>
    </cacheField>
    <cacheField name="Sub-Category" numFmtId="0">
      <sharedItems containsBlank="1" count="11">
        <s v="Paper"/>
        <s v="Labels"/>
        <s v="Storage"/>
        <s v="Binders"/>
        <s v="Art"/>
        <s v="Chairs"/>
        <s v="Phones"/>
        <s v="Fasteners"/>
        <s v="Furnishings"/>
        <s v="Accessories"/>
        <m/>
      </sharedItems>
    </cacheField>
    <cacheField name="Sales" numFmtId="0">
      <sharedItems containsString="0" containsBlank="1" containsNumber="1" minValue="2.89" maxValue="2573.8200000000002" count="22">
        <n v="16.45"/>
        <n v="11.78"/>
        <n v="272.74"/>
        <n v="3.54"/>
        <n v="19.54"/>
        <n v="19.440000000000001"/>
        <n v="12.78"/>
        <n v="2573.8200000000002"/>
        <n v="609.98"/>
        <n v="5.48"/>
        <n v="391.98"/>
        <n v="755.96"/>
        <n v="31.12"/>
        <n v="6.54"/>
        <n v="76.73"/>
        <n v="10.43"/>
        <n v="9.34"/>
        <n v="31.2"/>
        <n v="2.89"/>
        <n v="51.94"/>
        <n v="9.94"/>
        <m/>
      </sharedItems>
    </cacheField>
    <cacheField name="Quantity" numFmtId="0">
      <sharedItems containsString="0" containsBlank="1" containsNumber="1" containsInteger="1" minValue="1" maxValue="9"/>
    </cacheField>
    <cacheField name="Profit" numFmtId="0">
      <sharedItems containsString="0" containsBlank="1" containsNumber="1" minValue="-64.77" maxValue="746.41" count="22">
        <n v="5.55"/>
        <n v="4.2699999999999996"/>
        <n v="-64.77"/>
        <n v="-5.49"/>
        <n v="4.88"/>
        <n v="9.33"/>
        <n v="5.24"/>
        <n v="746.41"/>
        <n v="274.49"/>
        <n v="1.48"/>
        <n v="113.67"/>
        <n v="204.11"/>
        <n v="0.31"/>
        <n v="3.01"/>
        <n v="-53.71"/>
        <n v="-18.25"/>
        <n v="1.17"/>
        <n v="9.75"/>
        <n v="1.36"/>
        <n v="21.3"/>
        <n v="3.08"/>
        <m/>
      </sharedItems>
    </cacheField>
    <cacheField name="Month" numFmtId="0">
      <sharedItems containsBlank="1"/>
    </cacheField>
    <cacheField name="Year" numFmtId="0">
      <sharedItems containsString="0" containsBlank="1" containsNumber="1" containsInteger="1" minValue="2021" maxValue="2021" count="2">
        <n v="2021"/>
        <m/>
      </sharedItems>
    </cacheField>
  </cacheFields>
  <extLst>
    <ext xmlns:x14="http://schemas.microsoft.com/office/spreadsheetml/2009/9/main" uri="{725AE2AE-9491-48be-B2B4-4EB974FC3084}">
      <x14:pivotCacheDefinition pivotCacheId="20117210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81.410332175925" createdVersion="8" refreshedVersion="8" minRefreshableVersion="3" recordCount="21" xr:uid="{143FCF23-FA7D-4E2F-BAB7-59FA5B2BCAB9}">
  <cacheSource type="worksheet">
    <worksheetSource ref="N7:O28" sheet="Sheet3"/>
  </cacheSource>
  <cacheFields count="2">
    <cacheField name="Customer Name" numFmtId="0">
      <sharedItems/>
    </cacheField>
    <cacheField name="Year" numFmtId="0">
      <sharedItems containsSemiMixedTypes="0" containsString="0" containsNumber="1" containsInteger="1" minValue="2021" maxValue="2021" count="1">
        <n v="202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21-01-03T00:00:00"/>
    <s v="Darren Powers"/>
    <s v="Texas"/>
    <s v="Office Supplies"/>
    <x v="0"/>
    <x v="0"/>
    <n v="2"/>
    <x v="0"/>
    <s v="Jan"/>
    <x v="0"/>
  </r>
  <r>
    <d v="2021-01-04T00:00:00"/>
    <s v="Phillina Ober"/>
    <s v="Illinois"/>
    <s v="Office Supplies"/>
    <x v="1"/>
    <x v="1"/>
    <n v="3"/>
    <x v="1"/>
    <s v="Jan"/>
    <x v="0"/>
  </r>
  <r>
    <d v="2021-01-04T00:00:00"/>
    <s v="Phillina Ober"/>
    <s v="Illinois"/>
    <s v="Office Supplies"/>
    <x v="2"/>
    <x v="2"/>
    <n v="3"/>
    <x v="2"/>
    <s v="Jan"/>
    <x v="0"/>
  </r>
  <r>
    <d v="2021-01-04T00:00:00"/>
    <s v="Phillina Ober"/>
    <s v="Illinois"/>
    <s v="Office Supplies"/>
    <x v="3"/>
    <x v="3"/>
    <n v="2"/>
    <x v="3"/>
    <s v="Jan"/>
    <x v="0"/>
  </r>
  <r>
    <d v="2021-01-05T00:00:00"/>
    <s v="Mick Brown"/>
    <s v="Pennsylvania"/>
    <s v="Office Supplies"/>
    <x v="4"/>
    <x v="4"/>
    <n v="3"/>
    <x v="4"/>
    <s v="Jan"/>
    <x v="0"/>
  </r>
  <r>
    <d v="2021-01-06T00:00:00"/>
    <s v="Lycoris Saunders"/>
    <s v="California"/>
    <s v="Office Supplies"/>
    <x v="0"/>
    <x v="5"/>
    <n v="3"/>
    <x v="5"/>
    <s v="Jan"/>
    <x v="0"/>
  </r>
  <r>
    <d v="2021-01-06T00:00:00"/>
    <s v="Jack O'Briant"/>
    <s v="Georgia"/>
    <s v="Office Supplies"/>
    <x v="4"/>
    <x v="6"/>
    <n v="3"/>
    <x v="6"/>
    <s v="Jan"/>
    <x v="0"/>
  </r>
  <r>
    <d v="2021-01-06T00:00:00"/>
    <s v="Maria Etezadi"/>
    <s v="Kentucky"/>
    <s v="Furniture"/>
    <x v="5"/>
    <x v="7"/>
    <n v="9"/>
    <x v="7"/>
    <s v="Jan"/>
    <x v="0"/>
  </r>
  <r>
    <d v="2021-01-06T00:00:00"/>
    <s v="Maria Etezadi"/>
    <s v="Kentucky"/>
    <s v="Office Supplies"/>
    <x v="3"/>
    <x v="8"/>
    <n v="2"/>
    <x v="8"/>
    <s v="Jan"/>
    <x v="0"/>
  </r>
  <r>
    <d v="2021-01-06T00:00:00"/>
    <s v="Maria Etezadi"/>
    <s v="Kentucky"/>
    <s v="Office Supplies"/>
    <x v="4"/>
    <x v="9"/>
    <n v="2"/>
    <x v="9"/>
    <s v="Jan"/>
    <x v="0"/>
  </r>
  <r>
    <d v="2021-01-06T00:00:00"/>
    <s v="Maria Etezadi"/>
    <s v="Kentucky"/>
    <s v="Technology"/>
    <x v="6"/>
    <x v="10"/>
    <n v="2"/>
    <x v="10"/>
    <s v="Jan"/>
    <x v="0"/>
  </r>
  <r>
    <d v="2021-01-06T00:00:00"/>
    <s v="Maria Etezadi"/>
    <s v="Kentucky"/>
    <s v="Technology"/>
    <x v="6"/>
    <x v="11"/>
    <n v="4"/>
    <x v="11"/>
    <s v="Jan"/>
    <x v="0"/>
  </r>
  <r>
    <d v="2021-01-06T00:00:00"/>
    <s v="Maria Etezadi"/>
    <s v="Kentucky"/>
    <s v="Office Supplies"/>
    <x v="7"/>
    <x v="12"/>
    <n v="4"/>
    <x v="12"/>
    <s v="Jan"/>
    <x v="0"/>
  </r>
  <r>
    <d v="2021-01-06T00:00:00"/>
    <s v="Maria Etezadi"/>
    <s v="Kentucky"/>
    <s v="Office Supplies"/>
    <x v="0"/>
    <x v="13"/>
    <n v="1"/>
    <x v="13"/>
    <s v="Jan"/>
    <x v="0"/>
  </r>
  <r>
    <d v="2021-01-07T00:00:00"/>
    <s v="Vivek Sundaresam"/>
    <s v="Texas"/>
    <s v="Furniture"/>
    <x v="8"/>
    <x v="14"/>
    <n v="3"/>
    <x v="14"/>
    <s v="Jan"/>
    <x v="0"/>
  </r>
  <r>
    <d v="2021-01-07T00:00:00"/>
    <s v="Vivek Sundaresam"/>
    <s v="Texas"/>
    <s v="Office Supplies"/>
    <x v="3"/>
    <x v="15"/>
    <n v="7"/>
    <x v="15"/>
    <s v="Jan"/>
    <x v="0"/>
  </r>
  <r>
    <d v="2021-01-09T00:00:00"/>
    <s v="Melanie Seite"/>
    <s v="Texas"/>
    <s v="Office Supplies"/>
    <x v="4"/>
    <x v="16"/>
    <n v="2"/>
    <x v="16"/>
    <s v="Jan"/>
    <x v="0"/>
  </r>
  <r>
    <d v="2021-01-09T00:00:00"/>
    <s v="Melanie Seite"/>
    <s v="Texas"/>
    <s v="Technology"/>
    <x v="9"/>
    <x v="17"/>
    <n v="3"/>
    <x v="17"/>
    <s v="Jan"/>
    <x v="0"/>
  </r>
  <r>
    <d v="2021-01-10T00:00:00"/>
    <s v="Anthony Jacobs"/>
    <s v="Virginia"/>
    <s v="Office Supplies"/>
    <x v="1"/>
    <x v="18"/>
    <n v="1"/>
    <x v="18"/>
    <s v="Jan"/>
    <x v="0"/>
  </r>
  <r>
    <d v="2021-01-10T00:00:00"/>
    <s v="Anthony Jacobs"/>
    <s v="Virginia"/>
    <s v="Furniture"/>
    <x v="8"/>
    <x v="19"/>
    <n v="1"/>
    <x v="19"/>
    <s v="Jan"/>
    <x v="0"/>
  </r>
  <r>
    <d v="2021-01-11T00:00:00"/>
    <s v="Seth Vernon"/>
    <s v="Delaware"/>
    <s v="Furniture"/>
    <x v="8"/>
    <x v="20"/>
    <n v="2"/>
    <x v="20"/>
    <s v="Jan"/>
    <x v="0"/>
  </r>
  <r>
    <m/>
    <m/>
    <m/>
    <m/>
    <x v="10"/>
    <x v="21"/>
    <m/>
    <x v="21"/>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46A1C-3AE8-4C16-957B-7AFEC0E35946}"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8:R10" firstHeaderRow="1" firstDataRow="1" firstDataCol="1"/>
  <pivotFields count="2">
    <pivotField dataField="1" showAll="0"/>
    <pivotField axis="axisRow" showAll="0">
      <items count="2">
        <item x="0"/>
        <item t="default"/>
      </items>
    </pivotField>
  </pivotFields>
  <rowFields count="1">
    <field x="1"/>
  </rowFields>
  <rowItems count="2">
    <i>
      <x/>
    </i>
    <i t="grand">
      <x/>
    </i>
  </rowItems>
  <colItems count="1">
    <i/>
  </colItems>
  <dataFields count="1">
    <dataField name="Count of Customer 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1C207-C354-4C19-AED2-1EE1FD28833B}"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5:I17" firstHeaderRow="1" firstDataRow="1" firstDataCol="1"/>
  <pivotFields count="10">
    <pivotField showAll="0"/>
    <pivotField showAll="0"/>
    <pivotField showAll="0"/>
    <pivotField showAll="0"/>
    <pivotField axis="axisRow" showAll="0" sortType="descending">
      <items count="12">
        <item x="9"/>
        <item x="4"/>
        <item x="3"/>
        <item x="5"/>
        <item x="7"/>
        <item x="8"/>
        <item x="1"/>
        <item x="0"/>
        <item x="6"/>
        <item x="2"/>
        <item x="10"/>
        <item t="default"/>
      </items>
      <autoSortScope>
        <pivotArea dataOnly="0" outline="0" fieldPosition="0">
          <references count="1">
            <reference field="4294967294" count="1" selected="0">
              <x v="0"/>
            </reference>
          </references>
        </pivotArea>
      </autoSortScope>
    </pivotField>
    <pivotField dataField="1" showAll="0">
      <items count="23">
        <item x="18"/>
        <item x="3"/>
        <item x="9"/>
        <item x="13"/>
        <item x="16"/>
        <item x="20"/>
        <item x="15"/>
        <item x="1"/>
        <item x="6"/>
        <item x="0"/>
        <item x="5"/>
        <item x="4"/>
        <item x="12"/>
        <item x="17"/>
        <item x="19"/>
        <item x="14"/>
        <item x="2"/>
        <item x="10"/>
        <item x="8"/>
        <item x="11"/>
        <item x="7"/>
        <item x="21"/>
        <item t="default"/>
      </items>
    </pivotField>
    <pivotField showAll="0"/>
    <pivotField showAll="0"/>
    <pivotField showAll="0"/>
    <pivotField showAll="0">
      <items count="3">
        <item x="0"/>
        <item x="1"/>
        <item t="default"/>
      </items>
    </pivotField>
  </pivotFields>
  <rowFields count="1">
    <field x="4"/>
  </rowFields>
  <rowItems count="12">
    <i>
      <x v="3"/>
    </i>
    <i>
      <x v="8"/>
    </i>
    <i>
      <x v="2"/>
    </i>
    <i>
      <x v="9"/>
    </i>
    <i>
      <x v="5"/>
    </i>
    <i>
      <x v="1"/>
    </i>
    <i>
      <x v="7"/>
    </i>
    <i>
      <x/>
    </i>
    <i>
      <x v="4"/>
    </i>
    <i>
      <x v="6"/>
    </i>
    <i>
      <x v="10"/>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B308C-1F47-4BAB-96ED-71095C061921}"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F7" firstHeaderRow="1" firstDataRow="1" firstDataCol="1"/>
  <pivotFields count="10">
    <pivotField showAll="0"/>
    <pivotField showAll="0"/>
    <pivotField showAll="0"/>
    <pivotField showAll="0"/>
    <pivotField showAll="0"/>
    <pivotField showAll="0"/>
    <pivotField showAll="0"/>
    <pivotField dataField="1" showAll="0">
      <items count="23">
        <item h="1" x="2"/>
        <item h="1" x="14"/>
        <item h="1" x="15"/>
        <item h="1" x="3"/>
        <item x="12"/>
        <item h="1" x="16"/>
        <item h="1" x="18"/>
        <item h="1" x="9"/>
        <item h="1" x="13"/>
        <item h="1" x="20"/>
        <item h="1" x="1"/>
        <item h="1" x="4"/>
        <item h="1" x="6"/>
        <item h="1" x="0"/>
        <item h="1" x="5"/>
        <item h="1" x="17"/>
        <item h="1" x="19"/>
        <item h="1" x="10"/>
        <item h="1" x="11"/>
        <item h="1" x="8"/>
        <item h="1" x="7"/>
        <item h="1" x="21"/>
        <item t="default"/>
      </items>
    </pivotField>
    <pivotField showAll="0"/>
    <pivotField axis="axisRow" showAll="0">
      <items count="3">
        <item x="0"/>
        <item h="1" x="1"/>
        <item t="default"/>
      </items>
    </pivotField>
  </pivotFields>
  <rowFields count="1">
    <field x="9"/>
  </rowFields>
  <rowItems count="2">
    <i>
      <x/>
    </i>
    <i t="grand">
      <x/>
    </i>
  </rowItems>
  <colItems count="1">
    <i/>
  </colItems>
  <dataFields count="1">
    <dataField name="Sum of Profit" fld="7"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43433D-B4ED-41C5-8A14-B8E6019CBD39}"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7" baseField="0" baseItem="0" numFmtId="168"/>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87A885-ED64-4C4E-8616-368E383D0268}"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5" baseField="0" baseItem="0" numFmtId="168"/>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B3D291-7D7D-49F0-A5E7-D081C224ED5A}"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6" firstHeaderRow="1" firstDataRow="1" firstDataCol="1"/>
  <pivotFields count="10">
    <pivotField showAll="0"/>
    <pivotField showAll="0"/>
    <pivotField showAll="0"/>
    <pivotField showAll="0"/>
    <pivotField showAll="0"/>
    <pivotField showAll="0"/>
    <pivotField showAll="0"/>
    <pivotField axis="axisRow" showAll="0">
      <items count="23">
        <item x="2"/>
        <item x="14"/>
        <item x="15"/>
        <item x="3"/>
        <item x="12"/>
        <item x="16"/>
        <item x="18"/>
        <item x="9"/>
        <item x="13"/>
        <item x="20"/>
        <item x="1"/>
        <item x="4"/>
        <item x="6"/>
        <item x="0"/>
        <item x="5"/>
        <item x="17"/>
        <item x="19"/>
        <item x="10"/>
        <item x="11"/>
        <item x="8"/>
        <item x="7"/>
        <item x="21"/>
        <item t="default"/>
      </items>
    </pivotField>
    <pivotField showAll="0"/>
    <pivotField dataField="1" showAll="0">
      <items count="3">
        <item x="0"/>
        <item x="1"/>
        <item t="default"/>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Yea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C89BE8-077B-48E1-BF0D-A7B9937CE6CD}"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10">
    <pivotField showAll="0"/>
    <pivotField showAll="0"/>
    <pivotField showAll="0"/>
    <pivotField showAll="0"/>
    <pivotField showAll="0"/>
    <pivotField dataField="1" showAll="0"/>
    <pivotField showAll="0"/>
    <pivotField showAll="0"/>
    <pivotField dataField="1" showAll="0"/>
    <pivotField axis="axisRow" showAll="0">
      <items count="3">
        <item x="0"/>
        <item x="1"/>
        <item t="default"/>
      </items>
    </pivotField>
  </pivotFields>
  <rowFields count="1">
    <field x="9"/>
  </rowFields>
  <rowItems count="3">
    <i>
      <x/>
    </i>
    <i>
      <x v="1"/>
    </i>
    <i t="grand">
      <x/>
    </i>
  </rowItems>
  <colFields count="1">
    <field x="-2"/>
  </colFields>
  <colItems count="2">
    <i>
      <x/>
    </i>
    <i i="1">
      <x v="1"/>
    </i>
  </colItems>
  <dataFields count="2">
    <dataField name="Count of Month" fld="8" subtotal="count" baseField="0" baseItem="0"/>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A06A5516-5669-4D4C-B0E0-D9BCBB6905D3}" sourceName="Profit">
  <pivotTables>
    <pivotTable tabId="3" name="PivotTable4"/>
  </pivotTables>
  <data>
    <tabular pivotCacheId="2011721089">
      <items count="22">
        <i x="2"/>
        <i x="14"/>
        <i x="15"/>
        <i x="3"/>
        <i x="12" s="1"/>
        <i x="16"/>
        <i x="18"/>
        <i x="9"/>
        <i x="13"/>
        <i x="20"/>
        <i x="1"/>
        <i x="4"/>
        <i x="6"/>
        <i x="0"/>
        <i x="5"/>
        <i x="17"/>
        <i x="19"/>
        <i x="10"/>
        <i x="11"/>
        <i x="8"/>
        <i x="7"/>
        <i x="2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00891AA4-0DA1-410E-A61F-14D0D064BAEB}" sourceName="Sales">
  <pivotTables>
    <pivotTable tabId="3" name="PivotTable5"/>
  </pivotTables>
  <data>
    <tabular pivotCacheId="2011721089">
      <items count="22">
        <i x="18" s="1"/>
        <i x="3" s="1"/>
        <i x="9" s="1"/>
        <i x="13" s="1"/>
        <i x="16" s="1"/>
        <i x="20" s="1"/>
        <i x="15" s="1"/>
        <i x="1" s="1"/>
        <i x="6" s="1"/>
        <i x="0" s="1"/>
        <i x="5" s="1"/>
        <i x="4" s="1"/>
        <i x="12" s="1"/>
        <i x="17" s="1"/>
        <i x="19" s="1"/>
        <i x="14" s="1"/>
        <i x="2" s="1"/>
        <i x="10" s="1"/>
        <i x="8" s="1"/>
        <i x="11" s="1"/>
        <i x="7" s="1"/>
        <i x="2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484CAB8-78EE-44E9-BC3E-C76FA9374D22}" sourceName="Year">
  <pivotTables>
    <pivotTable tabId="7" name="PivotTable8"/>
  </pivotTables>
  <data>
    <tabular pivotCacheId="2011721089">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1" xr10:uid="{E4DDF097-C13C-4726-90B9-C6BE25B9E510}" cache="Slicer_Profit" caption="Profit" rowHeight="324000"/>
  <slicer name="Sales 1" xr10:uid="{1D9004DE-0E4C-45AD-B372-FB1E75FAB262}" cache="Slicer_Sales" caption="Sales" startItem="12" rowHeight="241300"/>
  <slicer name="Sales 2" xr10:uid="{4392A395-D537-45F0-A18E-1BA2CB55895D}" cache="Slicer_Sales" caption="Sal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xr10:uid="{C29433EE-4DCE-4FCD-976A-87A8AA407B87}" cache="Slicer_Profit" caption="Profit" rowHeight="241300"/>
  <slicer name="Sales" xr10:uid="{19D3C09C-01E4-460F-910F-FD2255150332}" cache="Slicer_Sales" caption="Sale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54B940-9902-4E9C-A025-901DC8BCAEE5}"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A2648D-356C-4D53-847C-DF1AB4624707}" name="Table2" displayName="Table2" ref="A3:J24" totalsRowShown="0">
  <autoFilter ref="A3:J24" xr:uid="{6AA2648D-356C-4D53-847C-DF1AB4624707}"/>
  <sortState xmlns:xlrd2="http://schemas.microsoft.com/office/spreadsheetml/2017/richdata2" ref="A4:J24">
    <sortCondition ref="H3:H24"/>
  </sortState>
  <tableColumns count="10">
    <tableColumn id="1" xr3:uid="{BD37E2F0-F005-4B86-91B6-CDAAE81999A8}" name="Order Date" dataDxfId="6"/>
    <tableColumn id="2" xr3:uid="{14001A62-B215-42BC-B3A1-C1F527F00C89}" name="Customer Name"/>
    <tableColumn id="3" xr3:uid="{2E66CF14-BE25-4A62-8472-BD673DA355B5}" name="State"/>
    <tableColumn id="4" xr3:uid="{AD64626F-E408-4016-AEB0-E0EC7077D2FA}" name="Category"/>
    <tableColumn id="5" xr3:uid="{88603938-26E0-4E61-B74A-4D9BC06CA2FA}" name="Sub-Category"/>
    <tableColumn id="6" xr3:uid="{43EF48AE-7130-4EDC-B08E-F891261C3CB2}" name="Sales"/>
    <tableColumn id="7" xr3:uid="{99A65CD7-04CC-4DA3-B6DB-78A8D9076742}" name="Quantity"/>
    <tableColumn id="8" xr3:uid="{03F96C13-7519-464C-83AC-A70EB663669D}" name="Profit"/>
    <tableColumn id="9" xr3:uid="{E6FB35C7-BB2B-4D49-8929-509D03DA95BD}" name="Month"/>
    <tableColumn id="10" xr3:uid="{A0548081-C996-4AFE-ADC0-51BA78C90392}"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F5A46-8A97-4E85-9D54-19A74F583E5A}" name="Table1" displayName="Table1" ref="A1:J23" totalsRowShown="0" headerRowDxfId="7" dataDxfId="8">
  <autoFilter ref="A1:J23" xr:uid="{98AF5A46-8A97-4E85-9D54-19A74F583E5A}"/>
  <tableColumns count="10">
    <tableColumn id="1" xr3:uid="{AF9E2A0A-F3D7-44A6-B365-A804D859D68B}" name="Order Date" dataDxfId="18"/>
    <tableColumn id="2" xr3:uid="{E2808995-491C-4C3E-9071-9302A04D0133}" name="Customer Name" dataDxfId="17"/>
    <tableColumn id="3" xr3:uid="{B1E8C40E-BD20-4511-A4A0-7443E6FCDC5D}" name="State" dataDxfId="16"/>
    <tableColumn id="4" xr3:uid="{29ED2ADB-DFAC-4787-9484-BABD631B4817}" name="Category" dataDxfId="15"/>
    <tableColumn id="5" xr3:uid="{D338E3BD-5881-4559-8512-ECEB785700D6}" name="Sub-Category" dataDxfId="14"/>
    <tableColumn id="6" xr3:uid="{235FEEE7-0867-4380-8BEF-01B1BAF6EC8A}" name="Sales" dataDxfId="13"/>
    <tableColumn id="7" xr3:uid="{51C989B2-FFD2-4B67-8750-6F187B1CB3B2}" name="Quantity" dataDxfId="12"/>
    <tableColumn id="8" xr3:uid="{33302FD0-7697-4CF9-A3BD-B1D747478E8B}" name="Profit" dataDxfId="11"/>
    <tableColumn id="9" xr3:uid="{397E6DD7-D0CA-4A82-8792-00312FBD30B1}" name="Month" dataDxfId="10"/>
    <tableColumn id="10" xr3:uid="{8365E57C-EDBA-442D-B943-A3B82CE0C9E8}" name="Year" dataDxfId="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0B054-333C-4678-8AC6-D97E4E5658B1}">
  <dimension ref="A1:J24"/>
  <sheetViews>
    <sheetView workbookViewId="0">
      <selection activeCell="J1" sqref="J1:J1048576"/>
    </sheetView>
  </sheetViews>
  <sheetFormatPr defaultRowHeight="15" x14ac:dyDescent="0.25"/>
  <cols>
    <col min="1" max="1" width="13" bestFit="1" customWidth="1"/>
    <col min="2" max="2" width="17.7109375" bestFit="1" customWidth="1"/>
    <col min="3" max="3" width="12.7109375" bestFit="1" customWidth="1"/>
    <col min="4" max="4" width="14.5703125" bestFit="1" customWidth="1"/>
    <col min="5" max="5" width="15.140625" bestFit="1" customWidth="1"/>
    <col min="6" max="6" width="9.28515625" bestFit="1" customWidth="1"/>
    <col min="7" max="7" width="11" bestFit="1" customWidth="1"/>
    <col min="8" max="10" width="9.28515625" bestFit="1" customWidth="1"/>
  </cols>
  <sheetData>
    <row r="1" spans="1:10" x14ac:dyDescent="0.25">
      <c r="A1" s="8" t="s">
        <v>49</v>
      </c>
    </row>
    <row r="3" spans="1:10" x14ac:dyDescent="0.25">
      <c r="A3" t="s">
        <v>0</v>
      </c>
      <c r="B3" t="s">
        <v>1</v>
      </c>
      <c r="C3" t="s">
        <v>2</v>
      </c>
      <c r="D3" t="s">
        <v>3</v>
      </c>
      <c r="E3" t="s">
        <v>4</v>
      </c>
      <c r="F3" t="s">
        <v>5</v>
      </c>
      <c r="G3" t="s">
        <v>6</v>
      </c>
      <c r="H3" t="s">
        <v>7</v>
      </c>
      <c r="I3" t="s">
        <v>8</v>
      </c>
      <c r="J3" t="s">
        <v>9</v>
      </c>
    </row>
    <row r="4" spans="1:10" x14ac:dyDescent="0.25">
      <c r="A4" s="2">
        <v>44200</v>
      </c>
      <c r="B4" t="s">
        <v>15</v>
      </c>
      <c r="C4" t="s">
        <v>16</v>
      </c>
      <c r="D4" t="s">
        <v>12</v>
      </c>
      <c r="E4" t="s">
        <v>18</v>
      </c>
      <c r="F4">
        <v>272.74</v>
      </c>
      <c r="G4">
        <v>3</v>
      </c>
      <c r="H4">
        <v>-64.77</v>
      </c>
      <c r="I4" t="s">
        <v>14</v>
      </c>
      <c r="J4">
        <v>2021</v>
      </c>
    </row>
    <row r="5" spans="1:10" x14ac:dyDescent="0.25">
      <c r="A5" s="2">
        <v>44203</v>
      </c>
      <c r="B5" t="s">
        <v>34</v>
      </c>
      <c r="C5" t="s">
        <v>11</v>
      </c>
      <c r="D5" t="s">
        <v>29</v>
      </c>
      <c r="E5" t="s">
        <v>35</v>
      </c>
      <c r="F5">
        <v>76.73</v>
      </c>
      <c r="G5">
        <v>3</v>
      </c>
      <c r="H5">
        <v>-53.71</v>
      </c>
      <c r="I5" t="s">
        <v>14</v>
      </c>
      <c r="J5">
        <v>2021</v>
      </c>
    </row>
    <row r="6" spans="1:10" x14ac:dyDescent="0.25">
      <c r="A6" s="2">
        <v>44203</v>
      </c>
      <c r="B6" t="s">
        <v>34</v>
      </c>
      <c r="C6" t="s">
        <v>11</v>
      </c>
      <c r="D6" t="s">
        <v>12</v>
      </c>
      <c r="E6" t="s">
        <v>19</v>
      </c>
      <c r="F6">
        <v>10.43</v>
      </c>
      <c r="G6">
        <v>7</v>
      </c>
      <c r="H6">
        <v>-18.25</v>
      </c>
      <c r="I6" t="s">
        <v>14</v>
      </c>
      <c r="J6">
        <v>2021</v>
      </c>
    </row>
    <row r="7" spans="1:10" x14ac:dyDescent="0.25">
      <c r="A7" s="2">
        <v>44200</v>
      </c>
      <c r="B7" t="s">
        <v>15</v>
      </c>
      <c r="C7" t="s">
        <v>16</v>
      </c>
      <c r="D7" t="s">
        <v>12</v>
      </c>
      <c r="E7" t="s">
        <v>19</v>
      </c>
      <c r="F7">
        <v>3.54</v>
      </c>
      <c r="G7">
        <v>2</v>
      </c>
      <c r="H7">
        <v>-5.49</v>
      </c>
      <c r="I7" t="s">
        <v>14</v>
      </c>
      <c r="J7">
        <v>2021</v>
      </c>
    </row>
    <row r="8" spans="1:10" x14ac:dyDescent="0.25">
      <c r="A8" s="2">
        <v>44202</v>
      </c>
      <c r="B8" t="s">
        <v>27</v>
      </c>
      <c r="C8" t="s">
        <v>28</v>
      </c>
      <c r="D8" t="s">
        <v>12</v>
      </c>
      <c r="E8" t="s">
        <v>33</v>
      </c>
      <c r="F8">
        <v>31.12</v>
      </c>
      <c r="G8">
        <v>4</v>
      </c>
      <c r="H8">
        <v>0.31</v>
      </c>
      <c r="I8" t="s">
        <v>14</v>
      </c>
      <c r="J8">
        <v>2021</v>
      </c>
    </row>
    <row r="9" spans="1:10" x14ac:dyDescent="0.25">
      <c r="A9" s="2">
        <v>44205</v>
      </c>
      <c r="B9" t="s">
        <v>36</v>
      </c>
      <c r="C9" t="s">
        <v>11</v>
      </c>
      <c r="D9" t="s">
        <v>12</v>
      </c>
      <c r="E9" t="s">
        <v>22</v>
      </c>
      <c r="F9">
        <v>9.34</v>
      </c>
      <c r="G9">
        <v>2</v>
      </c>
      <c r="H9">
        <v>1.17</v>
      </c>
      <c r="I9" t="s">
        <v>14</v>
      </c>
      <c r="J9">
        <v>2021</v>
      </c>
    </row>
    <row r="10" spans="1:10" x14ac:dyDescent="0.25">
      <c r="A10" s="2">
        <v>44206</v>
      </c>
      <c r="B10" t="s">
        <v>38</v>
      </c>
      <c r="C10" t="s">
        <v>39</v>
      </c>
      <c r="D10" t="s">
        <v>12</v>
      </c>
      <c r="E10" t="s">
        <v>17</v>
      </c>
      <c r="F10">
        <v>2.89</v>
      </c>
      <c r="G10">
        <v>1</v>
      </c>
      <c r="H10">
        <v>1.36</v>
      </c>
      <c r="I10" t="s">
        <v>14</v>
      </c>
      <c r="J10">
        <v>2021</v>
      </c>
    </row>
    <row r="11" spans="1:10" x14ac:dyDescent="0.25">
      <c r="A11" s="2">
        <v>44202</v>
      </c>
      <c r="B11" t="s">
        <v>27</v>
      </c>
      <c r="C11" t="s">
        <v>28</v>
      </c>
      <c r="D11" t="s">
        <v>12</v>
      </c>
      <c r="E11" t="s">
        <v>22</v>
      </c>
      <c r="F11">
        <v>5.48</v>
      </c>
      <c r="G11">
        <v>2</v>
      </c>
      <c r="H11">
        <v>1.48</v>
      </c>
      <c r="I11" t="s">
        <v>14</v>
      </c>
      <c r="J11">
        <v>2021</v>
      </c>
    </row>
    <row r="12" spans="1:10" x14ac:dyDescent="0.25">
      <c r="A12" s="2">
        <v>44202</v>
      </c>
      <c r="B12" t="s">
        <v>27</v>
      </c>
      <c r="C12" t="s">
        <v>28</v>
      </c>
      <c r="D12" t="s">
        <v>12</v>
      </c>
      <c r="E12" t="s">
        <v>13</v>
      </c>
      <c r="F12">
        <v>6.54</v>
      </c>
      <c r="G12">
        <v>1</v>
      </c>
      <c r="H12">
        <v>3.01</v>
      </c>
      <c r="I12" t="s">
        <v>14</v>
      </c>
      <c r="J12">
        <v>2021</v>
      </c>
    </row>
    <row r="13" spans="1:10" x14ac:dyDescent="0.25">
      <c r="A13" s="2">
        <v>44207</v>
      </c>
      <c r="B13" t="s">
        <v>40</v>
      </c>
      <c r="C13" t="s">
        <v>41</v>
      </c>
      <c r="D13" t="s">
        <v>29</v>
      </c>
      <c r="E13" t="s">
        <v>35</v>
      </c>
      <c r="F13">
        <v>9.94</v>
      </c>
      <c r="G13">
        <v>2</v>
      </c>
      <c r="H13">
        <v>3.08</v>
      </c>
      <c r="I13" t="s">
        <v>14</v>
      </c>
      <c r="J13">
        <v>2021</v>
      </c>
    </row>
    <row r="14" spans="1:10" x14ac:dyDescent="0.25">
      <c r="A14" s="2">
        <v>44200</v>
      </c>
      <c r="B14" t="s">
        <v>15</v>
      </c>
      <c r="C14" t="s">
        <v>16</v>
      </c>
      <c r="D14" t="s">
        <v>12</v>
      </c>
      <c r="E14" t="s">
        <v>17</v>
      </c>
      <c r="F14">
        <v>11.78</v>
      </c>
      <c r="G14">
        <v>3</v>
      </c>
      <c r="H14">
        <v>4.2699999999999996</v>
      </c>
      <c r="I14" t="s">
        <v>14</v>
      </c>
      <c r="J14">
        <v>2021</v>
      </c>
    </row>
    <row r="15" spans="1:10" x14ac:dyDescent="0.25">
      <c r="A15" s="2">
        <v>44201</v>
      </c>
      <c r="B15" t="s">
        <v>20</v>
      </c>
      <c r="C15" t="s">
        <v>21</v>
      </c>
      <c r="D15" t="s">
        <v>12</v>
      </c>
      <c r="E15" t="s">
        <v>22</v>
      </c>
      <c r="F15">
        <v>19.54</v>
      </c>
      <c r="G15">
        <v>3</v>
      </c>
      <c r="H15">
        <v>4.88</v>
      </c>
      <c r="I15" t="s">
        <v>14</v>
      </c>
      <c r="J15">
        <v>2021</v>
      </c>
    </row>
    <row r="16" spans="1:10" x14ac:dyDescent="0.25">
      <c r="A16" s="2">
        <v>44202</v>
      </c>
      <c r="B16" t="s">
        <v>25</v>
      </c>
      <c r="C16" t="s">
        <v>26</v>
      </c>
      <c r="D16" t="s">
        <v>12</v>
      </c>
      <c r="E16" t="s">
        <v>22</v>
      </c>
      <c r="F16">
        <v>12.78</v>
      </c>
      <c r="G16">
        <v>3</v>
      </c>
      <c r="H16">
        <v>5.24</v>
      </c>
      <c r="I16" t="s">
        <v>14</v>
      </c>
      <c r="J16">
        <v>2021</v>
      </c>
    </row>
    <row r="17" spans="1:10" x14ac:dyDescent="0.25">
      <c r="A17" s="2">
        <v>44199</v>
      </c>
      <c r="B17" t="s">
        <v>10</v>
      </c>
      <c r="C17" t="s">
        <v>11</v>
      </c>
      <c r="D17" t="s">
        <v>12</v>
      </c>
      <c r="E17" t="s">
        <v>13</v>
      </c>
      <c r="F17">
        <v>16.45</v>
      </c>
      <c r="G17">
        <v>2</v>
      </c>
      <c r="H17">
        <v>5.55</v>
      </c>
      <c r="I17" t="s">
        <v>14</v>
      </c>
      <c r="J17">
        <v>2021</v>
      </c>
    </row>
    <row r="18" spans="1:10" x14ac:dyDescent="0.25">
      <c r="A18" s="2">
        <v>44202</v>
      </c>
      <c r="B18" t="s">
        <v>23</v>
      </c>
      <c r="C18" t="s">
        <v>24</v>
      </c>
      <c r="D18" t="s">
        <v>12</v>
      </c>
      <c r="E18" t="s">
        <v>13</v>
      </c>
      <c r="F18">
        <v>19.440000000000001</v>
      </c>
      <c r="G18">
        <v>3</v>
      </c>
      <c r="H18">
        <v>9.33</v>
      </c>
      <c r="I18" t="s">
        <v>14</v>
      </c>
      <c r="J18">
        <v>2021</v>
      </c>
    </row>
    <row r="19" spans="1:10" x14ac:dyDescent="0.25">
      <c r="A19" s="2">
        <v>44205</v>
      </c>
      <c r="B19" t="s">
        <v>36</v>
      </c>
      <c r="C19" t="s">
        <v>11</v>
      </c>
      <c r="D19" t="s">
        <v>31</v>
      </c>
      <c r="E19" t="s">
        <v>37</v>
      </c>
      <c r="F19">
        <v>31.2</v>
      </c>
      <c r="G19">
        <v>3</v>
      </c>
      <c r="H19">
        <v>9.75</v>
      </c>
      <c r="I19" t="s">
        <v>14</v>
      </c>
      <c r="J19">
        <v>2021</v>
      </c>
    </row>
    <row r="20" spans="1:10" x14ac:dyDescent="0.25">
      <c r="A20" s="2">
        <v>44206</v>
      </c>
      <c r="B20" t="s">
        <v>38</v>
      </c>
      <c r="C20" t="s">
        <v>39</v>
      </c>
      <c r="D20" t="s">
        <v>29</v>
      </c>
      <c r="E20" t="s">
        <v>35</v>
      </c>
      <c r="F20">
        <v>51.94</v>
      </c>
      <c r="G20">
        <v>1</v>
      </c>
      <c r="H20">
        <v>21.3</v>
      </c>
      <c r="I20" t="s">
        <v>14</v>
      </c>
      <c r="J20">
        <v>2021</v>
      </c>
    </row>
    <row r="21" spans="1:10" x14ac:dyDescent="0.25">
      <c r="A21" s="2">
        <v>44202</v>
      </c>
      <c r="B21" t="s">
        <v>27</v>
      </c>
      <c r="C21" t="s">
        <v>28</v>
      </c>
      <c r="D21" t="s">
        <v>31</v>
      </c>
      <c r="E21" t="s">
        <v>32</v>
      </c>
      <c r="F21">
        <v>391.98</v>
      </c>
      <c r="G21">
        <v>2</v>
      </c>
      <c r="H21">
        <v>113.67</v>
      </c>
      <c r="I21" t="s">
        <v>14</v>
      </c>
      <c r="J21">
        <v>2021</v>
      </c>
    </row>
    <row r="22" spans="1:10" x14ac:dyDescent="0.25">
      <c r="A22" s="2">
        <v>44202</v>
      </c>
      <c r="B22" t="s">
        <v>27</v>
      </c>
      <c r="C22" t="s">
        <v>28</v>
      </c>
      <c r="D22" t="s">
        <v>31</v>
      </c>
      <c r="E22" t="s">
        <v>32</v>
      </c>
      <c r="F22">
        <v>755.96</v>
      </c>
      <c r="G22">
        <v>4</v>
      </c>
      <c r="H22">
        <v>204.11</v>
      </c>
      <c r="I22" t="s">
        <v>14</v>
      </c>
      <c r="J22">
        <v>2021</v>
      </c>
    </row>
    <row r="23" spans="1:10" x14ac:dyDescent="0.25">
      <c r="A23" s="2">
        <v>44202</v>
      </c>
      <c r="B23" t="s">
        <v>27</v>
      </c>
      <c r="C23" t="s">
        <v>28</v>
      </c>
      <c r="D23" t="s">
        <v>12</v>
      </c>
      <c r="E23" t="s">
        <v>19</v>
      </c>
      <c r="F23">
        <v>609.98</v>
      </c>
      <c r="G23">
        <v>2</v>
      </c>
      <c r="H23">
        <v>274.49</v>
      </c>
      <c r="I23" t="s">
        <v>14</v>
      </c>
      <c r="J23">
        <v>2021</v>
      </c>
    </row>
    <row r="24" spans="1:10" x14ac:dyDescent="0.25">
      <c r="A24" s="2">
        <v>44202</v>
      </c>
      <c r="B24" t="s">
        <v>27</v>
      </c>
      <c r="C24" t="s">
        <v>28</v>
      </c>
      <c r="D24" t="s">
        <v>29</v>
      </c>
      <c r="E24" t="s">
        <v>30</v>
      </c>
      <c r="F24">
        <v>2573.8200000000002</v>
      </c>
      <c r="G24">
        <v>9</v>
      </c>
      <c r="H24">
        <v>746.41</v>
      </c>
      <c r="I24" t="s">
        <v>14</v>
      </c>
      <c r="J24">
        <v>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75F3-5BA9-43E8-ADA5-787D964A565A}">
  <dimension ref="A1:AB37"/>
  <sheetViews>
    <sheetView tabSelected="1" zoomScaleNormal="100" workbookViewId="0">
      <selection activeCell="U11" sqref="U11"/>
    </sheetView>
  </sheetViews>
  <sheetFormatPr defaultRowHeight="15" x14ac:dyDescent="0.25"/>
  <cols>
    <col min="1" max="1" width="9.7109375" customWidth="1"/>
    <col min="2" max="2" width="16.140625" customWidth="1"/>
  </cols>
  <sheetData>
    <row r="1" spans="1:28" x14ac:dyDescent="0.25">
      <c r="A1" s="11"/>
      <c r="B1" s="11"/>
      <c r="C1" s="11"/>
      <c r="D1" s="11"/>
      <c r="E1" s="11"/>
      <c r="F1" s="11"/>
      <c r="G1" s="11"/>
      <c r="H1" s="11"/>
      <c r="I1" s="11"/>
      <c r="J1" s="11"/>
      <c r="K1" s="11"/>
      <c r="L1" s="11"/>
      <c r="M1" s="11"/>
      <c r="N1" s="11"/>
      <c r="O1" s="11"/>
      <c r="P1" s="11"/>
      <c r="Q1" s="11"/>
      <c r="R1" s="11"/>
      <c r="S1" s="11"/>
      <c r="T1" s="11"/>
      <c r="U1" s="10"/>
      <c r="V1" s="10"/>
      <c r="W1" s="10"/>
      <c r="X1" s="10"/>
      <c r="Y1" s="10"/>
      <c r="Z1" s="10"/>
      <c r="AA1" s="10"/>
      <c r="AB1" s="10"/>
    </row>
    <row r="2" spans="1:28" x14ac:dyDescent="0.25">
      <c r="A2" s="11"/>
      <c r="B2" s="11"/>
      <c r="C2" s="11"/>
      <c r="D2" s="11"/>
      <c r="E2" s="11"/>
      <c r="F2" s="11"/>
      <c r="G2" s="11"/>
      <c r="H2" s="11"/>
      <c r="I2" s="11"/>
      <c r="J2" s="11"/>
      <c r="K2" s="11"/>
      <c r="L2" s="11"/>
      <c r="M2" s="11"/>
      <c r="N2" s="11"/>
      <c r="O2" s="11"/>
      <c r="P2" s="11"/>
      <c r="Q2" s="11"/>
      <c r="R2" s="11"/>
      <c r="S2" s="11"/>
      <c r="T2" s="11"/>
      <c r="U2" s="10"/>
      <c r="V2" s="10"/>
      <c r="W2" s="10"/>
      <c r="X2" s="10"/>
      <c r="Y2" s="10"/>
      <c r="Z2" s="10"/>
      <c r="AA2" s="10"/>
      <c r="AB2" s="10"/>
    </row>
    <row r="3" spans="1:28" x14ac:dyDescent="0.25">
      <c r="A3" s="11"/>
      <c r="B3" s="11"/>
      <c r="C3" s="11"/>
      <c r="D3" s="11"/>
      <c r="E3" s="11"/>
      <c r="F3" s="11"/>
      <c r="G3" s="11"/>
      <c r="H3" s="11"/>
      <c r="I3" s="11"/>
      <c r="J3" s="11"/>
      <c r="K3" s="11"/>
      <c r="L3" s="11"/>
      <c r="M3" s="11"/>
      <c r="N3" s="11"/>
      <c r="O3" s="11"/>
      <c r="P3" s="11"/>
      <c r="Q3" s="11"/>
      <c r="R3" s="11"/>
      <c r="S3" s="11"/>
      <c r="T3" s="11"/>
      <c r="U3" s="10"/>
      <c r="V3" s="10"/>
      <c r="W3" s="10"/>
      <c r="X3" s="10"/>
      <c r="Y3" s="10"/>
      <c r="Z3" s="10"/>
      <c r="AA3" s="10"/>
      <c r="AB3" s="10"/>
    </row>
    <row r="4" spans="1:28" x14ac:dyDescent="0.25">
      <c r="A4" s="11"/>
      <c r="B4" s="11"/>
      <c r="C4" s="11"/>
      <c r="D4" s="11"/>
      <c r="E4" s="11"/>
      <c r="F4" s="11"/>
      <c r="G4" s="11"/>
      <c r="H4" s="11"/>
      <c r="I4" s="11"/>
      <c r="J4" s="11"/>
      <c r="K4" s="11"/>
      <c r="L4" s="11"/>
      <c r="M4" s="11"/>
      <c r="N4" s="11"/>
      <c r="O4" s="11"/>
      <c r="P4" s="11"/>
      <c r="Q4" s="11"/>
      <c r="R4" s="11"/>
      <c r="S4" s="11"/>
      <c r="T4" s="11"/>
      <c r="U4" s="10"/>
      <c r="V4" s="10"/>
      <c r="W4" s="10"/>
      <c r="X4" s="10"/>
      <c r="Y4" s="10"/>
      <c r="Z4" s="10"/>
      <c r="AA4" s="10"/>
      <c r="AB4" s="10"/>
    </row>
    <row r="5" spans="1:28" x14ac:dyDescent="0.25">
      <c r="A5" s="11"/>
      <c r="B5" s="11"/>
      <c r="C5" s="11"/>
      <c r="D5" s="11"/>
      <c r="E5" s="11"/>
      <c r="F5" s="11"/>
      <c r="G5" s="11"/>
      <c r="H5" s="11"/>
      <c r="I5" s="11"/>
      <c r="J5" s="11"/>
      <c r="K5" s="11"/>
      <c r="L5" s="11"/>
      <c r="M5" s="11"/>
      <c r="N5" s="11"/>
      <c r="O5" s="11"/>
      <c r="P5" s="11"/>
      <c r="Q5" s="11"/>
      <c r="R5" s="11"/>
      <c r="S5" s="11"/>
      <c r="T5" s="11"/>
      <c r="U5" s="10"/>
      <c r="V5" s="10"/>
      <c r="W5" s="10"/>
      <c r="X5" s="10"/>
      <c r="Y5" s="10"/>
      <c r="Z5" s="10"/>
      <c r="AA5" s="10"/>
      <c r="AB5" s="10"/>
    </row>
    <row r="6" spans="1:28" x14ac:dyDescent="0.25">
      <c r="A6" s="11"/>
      <c r="B6" s="11"/>
      <c r="C6" s="11"/>
      <c r="D6" s="11"/>
      <c r="E6" s="11"/>
      <c r="F6" s="11"/>
      <c r="G6" s="11"/>
      <c r="H6" s="11"/>
      <c r="I6" s="11"/>
      <c r="J6" s="11"/>
      <c r="K6" s="11"/>
      <c r="L6" s="11"/>
      <c r="M6" s="11"/>
      <c r="N6" s="11"/>
      <c r="O6" s="11"/>
      <c r="P6" s="11"/>
      <c r="Q6" s="11"/>
      <c r="R6" s="11"/>
      <c r="S6" s="11"/>
      <c r="T6" s="11"/>
      <c r="U6" s="10"/>
      <c r="V6" s="10"/>
      <c r="W6" s="10"/>
      <c r="X6" s="10"/>
      <c r="Y6" s="10"/>
      <c r="Z6" s="10"/>
      <c r="AA6" s="10"/>
      <c r="AB6" s="10"/>
    </row>
    <row r="7" spans="1:28" x14ac:dyDescent="0.25">
      <c r="A7" s="11"/>
      <c r="B7" s="11"/>
      <c r="C7" s="11"/>
      <c r="D7" s="11"/>
      <c r="E7" s="11"/>
      <c r="F7" s="11"/>
      <c r="G7" s="11"/>
      <c r="H7" s="11"/>
      <c r="I7" s="11"/>
      <c r="J7" s="11"/>
      <c r="K7" s="11"/>
      <c r="L7" s="11"/>
      <c r="M7" s="11"/>
      <c r="N7" s="11"/>
      <c r="O7" s="11"/>
      <c r="P7" s="11"/>
      <c r="Q7" s="11"/>
      <c r="R7" s="11"/>
      <c r="S7" s="11"/>
      <c r="T7" s="11"/>
      <c r="U7" s="10"/>
      <c r="V7" s="10"/>
      <c r="W7" s="10"/>
      <c r="X7" s="10"/>
      <c r="Y7" s="10"/>
      <c r="Z7" s="10"/>
      <c r="AA7" s="10"/>
      <c r="AB7" s="10"/>
    </row>
    <row r="8" spans="1:28" x14ac:dyDescent="0.25">
      <c r="A8" s="11"/>
      <c r="B8" s="11"/>
      <c r="C8" s="11"/>
      <c r="D8" s="11"/>
      <c r="E8" s="11"/>
      <c r="F8" s="11"/>
      <c r="G8" s="11"/>
      <c r="H8" s="11"/>
      <c r="I8" s="11"/>
      <c r="J8" s="11"/>
      <c r="K8" s="11"/>
      <c r="L8" s="11"/>
      <c r="M8" s="11"/>
      <c r="N8" s="11"/>
      <c r="O8" s="11"/>
      <c r="P8" s="11"/>
      <c r="Q8" s="11"/>
      <c r="R8" s="11"/>
      <c r="S8" s="11"/>
      <c r="T8" s="11"/>
      <c r="U8" s="10"/>
      <c r="V8" s="10"/>
      <c r="W8" s="10"/>
      <c r="X8" s="10"/>
      <c r="Y8" s="10"/>
      <c r="Z8" s="10"/>
      <c r="AA8" s="10"/>
      <c r="AB8" s="10"/>
    </row>
    <row r="9" spans="1:28" x14ac:dyDescent="0.25">
      <c r="A9" s="11"/>
      <c r="B9" s="11"/>
      <c r="C9" s="11"/>
      <c r="D9" s="11"/>
      <c r="E9" s="11"/>
      <c r="F9" s="11"/>
      <c r="G9" s="11"/>
      <c r="H9" s="11"/>
      <c r="I9" s="11"/>
      <c r="J9" s="11"/>
      <c r="K9" s="11"/>
      <c r="L9" s="11"/>
      <c r="M9" s="11"/>
      <c r="N9" s="11"/>
      <c r="O9" s="11"/>
      <c r="P9" s="11"/>
      <c r="Q9" s="11"/>
      <c r="R9" s="11"/>
      <c r="S9" s="11"/>
      <c r="T9" s="11"/>
      <c r="U9" s="10"/>
      <c r="V9" s="10"/>
      <c r="W9" s="10"/>
      <c r="X9" s="10"/>
      <c r="Y9" s="10"/>
      <c r="Z9" s="10"/>
      <c r="AA9" s="10"/>
      <c r="AB9" s="10"/>
    </row>
    <row r="10" spans="1:28" x14ac:dyDescent="0.25">
      <c r="A10" s="11"/>
      <c r="B10" s="11"/>
      <c r="C10" s="11"/>
      <c r="D10" s="11"/>
      <c r="E10" s="11"/>
      <c r="F10" s="11"/>
      <c r="G10" s="11"/>
      <c r="H10" s="11"/>
      <c r="I10" s="11"/>
      <c r="J10" s="11"/>
      <c r="K10" s="11"/>
      <c r="L10" s="11"/>
      <c r="M10" s="11"/>
      <c r="N10" s="11"/>
      <c r="O10" s="11"/>
      <c r="P10" s="11"/>
      <c r="Q10" s="11"/>
      <c r="R10" s="11"/>
      <c r="S10" s="11"/>
      <c r="T10" s="11"/>
      <c r="U10" s="10"/>
      <c r="V10" s="10"/>
      <c r="W10" s="10"/>
      <c r="X10" s="10"/>
      <c r="Y10" s="10"/>
      <c r="Z10" s="10"/>
      <c r="AA10" s="10"/>
      <c r="AB10" s="10"/>
    </row>
    <row r="11" spans="1:28" x14ac:dyDescent="0.25">
      <c r="A11" s="11"/>
      <c r="B11" s="11"/>
      <c r="C11" s="11"/>
      <c r="D11" s="11"/>
      <c r="E11" s="11"/>
      <c r="F11" s="11"/>
      <c r="G11" s="11"/>
      <c r="H11" s="11"/>
      <c r="I11" s="11"/>
      <c r="J11" s="11"/>
      <c r="K11" s="11"/>
      <c r="L11" s="11"/>
      <c r="M11" s="11"/>
      <c r="N11" s="11"/>
      <c r="O11" s="11"/>
      <c r="P11" s="11"/>
      <c r="Q11" s="11"/>
      <c r="R11" s="11"/>
      <c r="S11" s="11"/>
      <c r="T11" s="11"/>
      <c r="U11" s="10"/>
      <c r="V11" s="10"/>
      <c r="W11" s="10"/>
      <c r="X11" s="10"/>
      <c r="Y11" s="10"/>
      <c r="Z11" s="10"/>
      <c r="AA11" s="10"/>
      <c r="AB11" s="10"/>
    </row>
    <row r="12" spans="1:28" x14ac:dyDescent="0.25">
      <c r="A12" s="11"/>
      <c r="B12" s="11"/>
      <c r="C12" s="11"/>
      <c r="D12" s="11"/>
      <c r="E12" s="11"/>
      <c r="F12" s="11"/>
      <c r="G12" s="11"/>
      <c r="H12" s="11"/>
      <c r="I12" s="11"/>
      <c r="J12" s="11"/>
      <c r="K12" s="11"/>
      <c r="L12" s="11"/>
      <c r="M12" s="11"/>
      <c r="N12" s="11"/>
      <c r="O12" s="11"/>
      <c r="P12" s="11"/>
      <c r="Q12" s="11"/>
      <c r="R12" s="11"/>
      <c r="S12" s="11"/>
      <c r="T12" s="11"/>
      <c r="U12" s="10"/>
      <c r="V12" s="10"/>
      <c r="W12" s="10"/>
      <c r="X12" s="10"/>
      <c r="Y12" s="10"/>
      <c r="Z12" s="10"/>
      <c r="AA12" s="10"/>
      <c r="AB12" s="10"/>
    </row>
    <row r="13" spans="1:28" x14ac:dyDescent="0.25">
      <c r="A13" s="11"/>
      <c r="B13" s="11"/>
      <c r="C13" s="11"/>
      <c r="D13" s="11"/>
      <c r="E13" s="11"/>
      <c r="F13" s="11"/>
      <c r="G13" s="11"/>
      <c r="H13" s="11"/>
      <c r="I13" s="11"/>
      <c r="J13" s="11"/>
      <c r="K13" s="11"/>
      <c r="L13" s="11"/>
      <c r="M13" s="11"/>
      <c r="N13" s="11"/>
      <c r="O13" s="11"/>
      <c r="P13" s="11"/>
      <c r="Q13" s="11"/>
      <c r="R13" s="11"/>
      <c r="S13" s="11"/>
      <c r="T13" s="11"/>
      <c r="U13" s="10"/>
      <c r="V13" s="10"/>
      <c r="W13" s="10"/>
      <c r="X13" s="10"/>
      <c r="Y13" s="10"/>
      <c r="Z13" s="10"/>
      <c r="AA13" s="10"/>
      <c r="AB13" s="10"/>
    </row>
    <row r="14" spans="1:28" x14ac:dyDescent="0.25">
      <c r="A14" s="11"/>
      <c r="B14" s="11"/>
      <c r="C14" s="11"/>
      <c r="D14" s="11"/>
      <c r="E14" s="11"/>
      <c r="F14" s="11"/>
      <c r="G14" s="11"/>
      <c r="H14" s="11"/>
      <c r="I14" s="11"/>
      <c r="J14" s="11"/>
      <c r="K14" s="11"/>
      <c r="L14" s="11"/>
      <c r="M14" s="11"/>
      <c r="N14" s="11"/>
      <c r="O14" s="11"/>
      <c r="P14" s="11"/>
      <c r="Q14" s="11"/>
      <c r="R14" s="11"/>
      <c r="S14" s="11"/>
      <c r="T14" s="11"/>
      <c r="U14" s="10"/>
      <c r="V14" s="10"/>
      <c r="W14" s="10"/>
      <c r="X14" s="10"/>
      <c r="Y14" s="10"/>
      <c r="Z14" s="10"/>
      <c r="AA14" s="10"/>
      <c r="AB14" s="10"/>
    </row>
    <row r="15" spans="1:28" x14ac:dyDescent="0.25">
      <c r="A15" s="11"/>
      <c r="B15" s="11"/>
      <c r="C15" s="11"/>
      <c r="D15" s="11"/>
      <c r="E15" s="11"/>
      <c r="F15" s="11"/>
      <c r="G15" s="11"/>
      <c r="H15" s="11"/>
      <c r="I15" s="11"/>
      <c r="J15" s="11"/>
      <c r="K15" s="11"/>
      <c r="L15" s="11"/>
      <c r="M15" s="11"/>
      <c r="N15" s="11"/>
      <c r="O15" s="11"/>
      <c r="P15" s="11"/>
      <c r="Q15" s="11"/>
      <c r="R15" s="11"/>
      <c r="S15" s="11"/>
      <c r="T15" s="11"/>
      <c r="U15" s="10"/>
      <c r="V15" s="10"/>
      <c r="W15" s="10"/>
      <c r="X15" s="10"/>
      <c r="Y15" s="10"/>
      <c r="Z15" s="10"/>
      <c r="AA15" s="10"/>
      <c r="AB15" s="10"/>
    </row>
    <row r="16" spans="1:28" x14ac:dyDescent="0.25">
      <c r="A16" s="11"/>
      <c r="B16" s="11"/>
      <c r="C16" s="11"/>
      <c r="D16" s="11"/>
      <c r="E16" s="11"/>
      <c r="F16" s="11"/>
      <c r="G16" s="11"/>
      <c r="H16" s="11"/>
      <c r="I16" s="11"/>
      <c r="J16" s="11"/>
      <c r="K16" s="11"/>
      <c r="L16" s="11"/>
      <c r="M16" s="11"/>
      <c r="N16" s="11"/>
      <c r="O16" s="11"/>
      <c r="P16" s="11"/>
      <c r="Q16" s="11"/>
      <c r="R16" s="11"/>
      <c r="S16" s="11"/>
      <c r="T16" s="11"/>
      <c r="U16" s="10"/>
      <c r="V16" s="10"/>
      <c r="W16" s="10"/>
      <c r="X16" s="10"/>
      <c r="Y16" s="10"/>
      <c r="Z16" s="10"/>
      <c r="AA16" s="10"/>
      <c r="AB16" s="10"/>
    </row>
    <row r="17" spans="1:28" x14ac:dyDescent="0.25">
      <c r="A17" s="11"/>
      <c r="B17" s="11"/>
      <c r="C17" s="11"/>
      <c r="D17" s="11"/>
      <c r="E17" s="11"/>
      <c r="F17" s="11"/>
      <c r="G17" s="11"/>
      <c r="H17" s="11"/>
      <c r="I17" s="11"/>
      <c r="J17" s="11"/>
      <c r="K17" s="11"/>
      <c r="L17" s="11"/>
      <c r="M17" s="11"/>
      <c r="N17" s="11"/>
      <c r="O17" s="11"/>
      <c r="P17" s="11"/>
      <c r="Q17" s="11"/>
      <c r="R17" s="11"/>
      <c r="S17" s="11"/>
      <c r="T17" s="11"/>
      <c r="U17" s="10"/>
      <c r="V17" s="10"/>
      <c r="W17" s="10"/>
      <c r="X17" s="10"/>
      <c r="Y17" s="10"/>
      <c r="Z17" s="10"/>
      <c r="AA17" s="10"/>
      <c r="AB17" s="10"/>
    </row>
    <row r="18" spans="1:28" x14ac:dyDescent="0.25">
      <c r="A18" s="11"/>
      <c r="B18" s="11"/>
      <c r="C18" s="11"/>
      <c r="D18" s="11"/>
      <c r="E18" s="11"/>
      <c r="F18" s="11"/>
      <c r="G18" s="11"/>
      <c r="H18" s="11"/>
      <c r="I18" s="11"/>
      <c r="J18" s="11"/>
      <c r="K18" s="11"/>
      <c r="L18" s="11"/>
      <c r="M18" s="11"/>
      <c r="N18" s="11"/>
      <c r="O18" s="11"/>
      <c r="P18" s="11"/>
      <c r="Q18" s="11"/>
      <c r="R18" s="11"/>
      <c r="S18" s="11"/>
      <c r="T18" s="11"/>
      <c r="U18" s="10"/>
      <c r="V18" s="10"/>
      <c r="W18" s="10"/>
      <c r="X18" s="10"/>
      <c r="Y18" s="10"/>
      <c r="Z18" s="10"/>
      <c r="AA18" s="10"/>
      <c r="AB18" s="10"/>
    </row>
    <row r="19" spans="1:28" x14ac:dyDescent="0.25">
      <c r="A19" s="11"/>
      <c r="B19" s="11"/>
      <c r="C19" s="11"/>
      <c r="D19" s="11"/>
      <c r="E19" s="11"/>
      <c r="F19" s="11"/>
      <c r="G19" s="11"/>
      <c r="H19" s="11"/>
      <c r="I19" s="11"/>
      <c r="J19" s="11"/>
      <c r="K19" s="11"/>
      <c r="L19" s="11"/>
      <c r="M19" s="11"/>
      <c r="N19" s="11"/>
      <c r="O19" s="11"/>
      <c r="P19" s="11"/>
      <c r="Q19" s="11"/>
      <c r="R19" s="11"/>
      <c r="S19" s="11"/>
      <c r="T19" s="11"/>
      <c r="U19" s="10"/>
      <c r="V19" s="10"/>
      <c r="W19" s="10"/>
      <c r="X19" s="10"/>
      <c r="Y19" s="10"/>
      <c r="Z19" s="10"/>
      <c r="AA19" s="10"/>
      <c r="AB19" s="10"/>
    </row>
    <row r="20" spans="1:28" x14ac:dyDescent="0.25">
      <c r="A20" s="11"/>
      <c r="B20" s="11"/>
      <c r="C20" s="11"/>
      <c r="D20" s="11"/>
      <c r="E20" s="11"/>
      <c r="F20" s="11"/>
      <c r="G20" s="11"/>
      <c r="H20" s="11"/>
      <c r="I20" s="11"/>
      <c r="J20" s="11"/>
      <c r="K20" s="11"/>
      <c r="L20" s="11"/>
      <c r="M20" s="11"/>
      <c r="N20" s="11"/>
      <c r="O20" s="11"/>
      <c r="P20" s="11"/>
      <c r="Q20" s="11"/>
      <c r="R20" s="11"/>
      <c r="S20" s="11"/>
      <c r="T20" s="11"/>
      <c r="U20" s="10"/>
      <c r="V20" s="11"/>
      <c r="W20" s="10"/>
      <c r="X20" s="10"/>
      <c r="Y20" s="10"/>
      <c r="Z20" s="10"/>
      <c r="AA20" s="10"/>
      <c r="AB20" s="10"/>
    </row>
    <row r="21" spans="1:28" x14ac:dyDescent="0.25">
      <c r="A21" s="11"/>
      <c r="B21" s="11"/>
      <c r="C21" s="11"/>
      <c r="D21" s="11"/>
      <c r="E21" s="11"/>
      <c r="F21" s="11"/>
      <c r="G21" s="11"/>
      <c r="H21" s="11"/>
      <c r="I21" s="11"/>
      <c r="J21" s="11"/>
      <c r="K21" s="11"/>
      <c r="L21" s="11"/>
      <c r="M21" s="11"/>
      <c r="N21" s="11"/>
      <c r="O21" s="11"/>
      <c r="P21" s="11"/>
      <c r="Q21" s="11"/>
      <c r="R21" s="11"/>
      <c r="S21" s="11"/>
      <c r="T21" s="11"/>
      <c r="U21" s="10"/>
      <c r="V21" s="10"/>
      <c r="W21" s="10"/>
      <c r="X21" s="10"/>
      <c r="Y21" s="10"/>
      <c r="Z21" s="10"/>
      <c r="AA21" s="10"/>
      <c r="AB21" s="10"/>
    </row>
    <row r="22" spans="1:28" x14ac:dyDescent="0.25">
      <c r="A22" s="11"/>
      <c r="B22" s="11"/>
      <c r="C22" s="11"/>
      <c r="D22" s="11"/>
      <c r="E22" s="11"/>
      <c r="F22" s="11"/>
      <c r="G22" s="11"/>
      <c r="H22" s="11"/>
      <c r="I22" s="11"/>
      <c r="J22" s="11"/>
      <c r="K22" s="11"/>
      <c r="L22" s="11"/>
      <c r="M22" s="11"/>
      <c r="N22" s="11"/>
      <c r="O22" s="11"/>
      <c r="P22" s="11"/>
      <c r="Q22" s="11"/>
      <c r="R22" s="11"/>
      <c r="S22" s="11"/>
      <c r="T22" s="11"/>
      <c r="U22" s="10"/>
      <c r="V22" s="10"/>
      <c r="W22" s="10"/>
      <c r="X22" s="10"/>
      <c r="Y22" s="10"/>
      <c r="Z22" s="10"/>
      <c r="AA22" s="10"/>
      <c r="AB22" s="10"/>
    </row>
    <row r="23" spans="1:28" x14ac:dyDescent="0.25">
      <c r="A23" s="11"/>
      <c r="B23" s="11"/>
      <c r="C23" s="11"/>
      <c r="D23" s="11"/>
      <c r="E23" s="11"/>
      <c r="F23" s="11"/>
      <c r="G23" s="11"/>
      <c r="H23" s="11"/>
      <c r="I23" s="11"/>
      <c r="J23" s="11"/>
      <c r="K23" s="11"/>
      <c r="L23" s="11"/>
      <c r="M23" s="11"/>
      <c r="N23" s="11"/>
      <c r="O23" s="11"/>
      <c r="P23" s="11"/>
      <c r="Q23" s="11"/>
      <c r="R23" s="11"/>
      <c r="S23" s="11"/>
      <c r="T23" s="11"/>
      <c r="U23" s="10"/>
      <c r="V23" s="10"/>
      <c r="W23" s="10"/>
      <c r="X23" s="10"/>
      <c r="Y23" s="10"/>
      <c r="Z23" s="10"/>
      <c r="AA23" s="10"/>
      <c r="AB23" s="10"/>
    </row>
    <row r="24" spans="1:28" x14ac:dyDescent="0.25">
      <c r="A24" s="11"/>
      <c r="B24" s="11"/>
      <c r="C24" s="11"/>
      <c r="D24" s="11"/>
      <c r="E24" s="11"/>
      <c r="F24" s="11"/>
      <c r="G24" s="11"/>
      <c r="H24" s="11"/>
      <c r="I24" s="11"/>
      <c r="J24" s="11"/>
      <c r="K24" s="11"/>
      <c r="L24" s="11"/>
      <c r="M24" s="11"/>
      <c r="N24" s="11"/>
      <c r="O24" s="11"/>
      <c r="P24" s="11"/>
      <c r="Q24" s="11"/>
      <c r="R24" s="11"/>
      <c r="S24" s="11"/>
      <c r="T24" s="11"/>
      <c r="U24" s="10"/>
      <c r="V24" s="10"/>
      <c r="W24" s="10"/>
      <c r="X24" s="10"/>
      <c r="Y24" s="10"/>
      <c r="Z24" s="10"/>
      <c r="AA24" s="10"/>
      <c r="AB24" s="10"/>
    </row>
    <row r="25" spans="1:28" x14ac:dyDescent="0.25">
      <c r="A25" s="11"/>
      <c r="B25" s="11"/>
      <c r="C25" s="11"/>
      <c r="D25" s="11"/>
      <c r="E25" s="11"/>
      <c r="F25" s="11"/>
      <c r="G25" s="11"/>
      <c r="H25" s="11"/>
      <c r="I25" s="11"/>
      <c r="J25" s="11"/>
      <c r="K25" s="11"/>
      <c r="L25" s="11"/>
      <c r="M25" s="11"/>
      <c r="N25" s="11"/>
      <c r="O25" s="11"/>
      <c r="P25" s="11"/>
      <c r="Q25" s="11"/>
      <c r="R25" s="11"/>
      <c r="S25" s="11"/>
      <c r="T25" s="11"/>
      <c r="U25" s="10"/>
      <c r="V25" s="10"/>
      <c r="W25" s="10"/>
      <c r="X25" s="10"/>
      <c r="Y25" s="10"/>
      <c r="Z25" s="10"/>
      <c r="AA25" s="10"/>
      <c r="AB25" s="10"/>
    </row>
    <row r="26" spans="1:28" x14ac:dyDescent="0.25">
      <c r="A26" s="11"/>
      <c r="B26" s="11"/>
      <c r="C26" s="11"/>
      <c r="D26" s="11"/>
      <c r="E26" s="11"/>
      <c r="F26" s="11"/>
      <c r="G26" s="11"/>
      <c r="H26" s="11"/>
      <c r="I26" s="11"/>
      <c r="J26" s="11"/>
      <c r="K26" s="11"/>
      <c r="L26" s="11"/>
      <c r="M26" s="11"/>
      <c r="N26" s="11"/>
      <c r="O26" s="11"/>
      <c r="P26" s="11"/>
      <c r="Q26" s="11"/>
      <c r="R26" s="11"/>
      <c r="S26" s="11"/>
      <c r="T26" s="11"/>
      <c r="U26" s="10"/>
      <c r="V26" s="10"/>
      <c r="W26" s="10"/>
      <c r="X26" s="10"/>
      <c r="Y26" s="10"/>
      <c r="Z26" s="10"/>
      <c r="AA26" s="10"/>
      <c r="AB26" s="10"/>
    </row>
    <row r="27" spans="1:28" ht="18.75" x14ac:dyDescent="0.3">
      <c r="A27" s="11"/>
      <c r="B27" s="11"/>
      <c r="C27" s="11"/>
      <c r="D27" s="11"/>
      <c r="E27" s="11"/>
      <c r="F27" s="11"/>
      <c r="G27" s="11"/>
      <c r="H27" s="11"/>
      <c r="I27" s="11"/>
      <c r="J27" s="11"/>
      <c r="K27" s="11"/>
      <c r="L27" s="11"/>
      <c r="M27" s="11"/>
      <c r="N27" s="11"/>
      <c r="O27" s="11"/>
      <c r="P27" s="11"/>
      <c r="Q27" s="11"/>
      <c r="R27" s="11"/>
      <c r="S27" s="11"/>
      <c r="T27" s="14"/>
      <c r="U27" s="10"/>
      <c r="V27" s="10"/>
      <c r="W27" s="10"/>
      <c r="X27" s="10"/>
      <c r="Y27" s="10"/>
      <c r="Z27" s="10"/>
      <c r="AA27" s="10"/>
    </row>
    <row r="28" spans="1:28" x14ac:dyDescent="0.25">
      <c r="A28" s="11"/>
      <c r="B28" s="11"/>
      <c r="C28" s="11"/>
      <c r="D28" s="11"/>
      <c r="E28" s="11"/>
      <c r="F28" s="11"/>
      <c r="G28" s="11"/>
      <c r="H28" s="11"/>
      <c r="I28" s="11"/>
      <c r="J28" s="11"/>
      <c r="K28" s="11"/>
      <c r="L28" s="11"/>
      <c r="M28" s="11"/>
      <c r="N28" s="11"/>
      <c r="O28" s="11"/>
      <c r="P28" s="11"/>
      <c r="Q28" s="11"/>
      <c r="R28" s="11"/>
      <c r="S28" s="11"/>
      <c r="T28" s="11"/>
      <c r="U28" s="10"/>
      <c r="V28" s="10"/>
      <c r="W28" s="10"/>
      <c r="X28" s="10"/>
      <c r="Y28" s="10"/>
      <c r="Z28" s="10"/>
      <c r="AA28" s="10"/>
      <c r="AB28" s="10"/>
    </row>
    <row r="29" spans="1:28" x14ac:dyDescent="0.25">
      <c r="A29" s="11"/>
      <c r="B29" s="11"/>
      <c r="C29" s="11"/>
      <c r="D29" s="11"/>
      <c r="E29" s="11"/>
      <c r="F29" s="11"/>
      <c r="G29" s="11"/>
      <c r="H29" s="11"/>
      <c r="I29" s="11"/>
      <c r="J29" s="11"/>
      <c r="K29" s="11"/>
      <c r="L29" s="11"/>
      <c r="M29" s="11"/>
      <c r="N29" s="11"/>
      <c r="O29" s="11"/>
      <c r="P29" s="11"/>
      <c r="Q29" s="11"/>
      <c r="R29" s="11"/>
      <c r="S29" s="11"/>
      <c r="T29" s="11"/>
      <c r="U29" s="10"/>
      <c r="V29" s="10"/>
      <c r="W29" s="10"/>
      <c r="X29" s="10"/>
      <c r="Y29" s="10"/>
      <c r="Z29" s="10"/>
      <c r="AA29" s="10"/>
      <c r="AB29" s="10"/>
    </row>
    <row r="30" spans="1:28" x14ac:dyDescent="0.25">
      <c r="A30" s="11"/>
      <c r="B30" s="11"/>
      <c r="C30" s="11"/>
      <c r="D30" s="11"/>
      <c r="E30" s="11"/>
      <c r="F30" s="11"/>
      <c r="G30" s="11"/>
      <c r="H30" s="11"/>
      <c r="I30" s="11"/>
      <c r="J30" s="11"/>
      <c r="K30" s="11"/>
      <c r="L30" s="11"/>
      <c r="M30" s="11"/>
      <c r="N30" s="11"/>
      <c r="O30" s="11"/>
      <c r="P30" s="11"/>
      <c r="Q30" s="11"/>
      <c r="R30" s="11"/>
      <c r="S30" s="11"/>
      <c r="T30" s="11"/>
      <c r="U30" s="10"/>
      <c r="V30" s="10"/>
      <c r="W30" s="10"/>
      <c r="X30" s="10"/>
      <c r="Y30" s="10"/>
      <c r="Z30" s="10"/>
      <c r="AA30" s="10"/>
      <c r="AB30" s="10"/>
    </row>
    <row r="31" spans="1:28" x14ac:dyDescent="0.25">
      <c r="A31" s="11"/>
      <c r="B31" s="11"/>
      <c r="C31" s="11"/>
      <c r="D31" s="11"/>
      <c r="E31" s="11"/>
      <c r="F31" s="11"/>
      <c r="G31" s="11"/>
      <c r="H31" s="11"/>
      <c r="I31" s="11"/>
      <c r="J31" s="11"/>
      <c r="K31" s="11"/>
      <c r="L31" s="11"/>
      <c r="M31" s="11"/>
      <c r="N31" s="11"/>
      <c r="O31" s="11"/>
      <c r="P31" s="11"/>
      <c r="Q31" s="11"/>
      <c r="R31" s="11"/>
      <c r="S31" s="11"/>
      <c r="T31" s="11"/>
      <c r="U31" s="10"/>
      <c r="V31" s="10"/>
      <c r="W31" s="10"/>
      <c r="X31" s="10"/>
      <c r="Y31" s="10"/>
      <c r="Z31" s="10"/>
      <c r="AA31" s="10"/>
      <c r="AB31" s="10"/>
    </row>
    <row r="32" spans="1:28" x14ac:dyDescent="0.25">
      <c r="A32" s="11"/>
      <c r="B32" s="11"/>
      <c r="C32" s="11"/>
      <c r="D32" s="11"/>
      <c r="E32" s="11"/>
      <c r="F32" s="11"/>
      <c r="G32" s="11"/>
      <c r="H32" s="11"/>
      <c r="I32" s="11"/>
      <c r="J32" s="11"/>
      <c r="K32" s="11"/>
      <c r="L32" s="11"/>
      <c r="M32" s="11"/>
      <c r="N32" s="11"/>
      <c r="O32" s="11"/>
      <c r="P32" s="11"/>
      <c r="Q32" s="11"/>
      <c r="R32" s="11"/>
      <c r="S32" s="11"/>
      <c r="T32" s="11"/>
      <c r="U32" s="10"/>
      <c r="V32" s="10"/>
      <c r="W32" s="10"/>
      <c r="X32" s="10"/>
      <c r="Y32" s="10"/>
      <c r="Z32" s="10"/>
      <c r="AA32" s="10"/>
      <c r="AB32" s="10"/>
    </row>
    <row r="33" spans="1:28" x14ac:dyDescent="0.25">
      <c r="A33" s="11"/>
      <c r="B33" s="11"/>
      <c r="C33" s="11"/>
      <c r="D33" s="11"/>
      <c r="E33" s="11"/>
      <c r="F33" s="11"/>
      <c r="G33" s="11"/>
      <c r="H33" s="11"/>
      <c r="I33" s="11"/>
      <c r="J33" s="11"/>
      <c r="K33" s="11"/>
      <c r="L33" s="11"/>
      <c r="M33" s="11"/>
      <c r="N33" s="11"/>
      <c r="O33" s="11"/>
      <c r="P33" s="11"/>
      <c r="Q33" s="11"/>
      <c r="R33" s="11"/>
      <c r="S33" s="11"/>
      <c r="T33" s="11"/>
      <c r="U33" s="10"/>
      <c r="V33" s="10"/>
      <c r="W33" s="10"/>
      <c r="X33" s="10"/>
      <c r="Y33" s="10"/>
      <c r="Z33" s="10"/>
      <c r="AA33" s="10"/>
      <c r="AB33" s="10"/>
    </row>
    <row r="34" spans="1:28" x14ac:dyDescent="0.25">
      <c r="A34" s="11"/>
      <c r="B34" s="11"/>
      <c r="C34" s="11"/>
      <c r="D34" s="11"/>
      <c r="E34" s="11"/>
      <c r="F34" s="11"/>
      <c r="G34" s="11"/>
      <c r="H34" s="11"/>
      <c r="I34" s="11"/>
      <c r="J34" s="11"/>
      <c r="K34" s="11"/>
      <c r="L34" s="11"/>
      <c r="M34" s="11"/>
      <c r="N34" s="11"/>
      <c r="O34" s="11"/>
      <c r="P34" s="11"/>
      <c r="Q34" s="11"/>
      <c r="R34" s="11"/>
      <c r="S34" s="11"/>
      <c r="T34" s="11"/>
      <c r="U34" s="10"/>
      <c r="V34" s="10"/>
      <c r="W34" s="10"/>
      <c r="X34" s="10"/>
      <c r="Y34" s="10"/>
      <c r="Z34" s="10"/>
      <c r="AA34" s="10"/>
      <c r="AB34" s="10"/>
    </row>
    <row r="35" spans="1:28" x14ac:dyDescent="0.25">
      <c r="A35" s="11"/>
      <c r="B35" s="11"/>
      <c r="C35" s="11"/>
      <c r="D35" s="11"/>
      <c r="E35" s="11"/>
      <c r="F35" s="11"/>
      <c r="G35" s="11"/>
      <c r="H35" s="11"/>
      <c r="I35" s="11"/>
      <c r="J35" s="11"/>
      <c r="K35" s="11"/>
      <c r="L35" s="11"/>
      <c r="M35" s="11"/>
      <c r="N35" s="11"/>
      <c r="O35" s="11"/>
      <c r="P35" s="11"/>
      <c r="Q35" s="11"/>
      <c r="R35" s="11"/>
      <c r="S35" s="11"/>
      <c r="T35" s="11"/>
      <c r="U35" s="10"/>
      <c r="V35" s="10"/>
      <c r="W35" s="10"/>
      <c r="X35" s="10"/>
      <c r="Y35" s="10"/>
      <c r="Z35" s="10"/>
      <c r="AA35" s="10"/>
      <c r="AB35" s="10"/>
    </row>
    <row r="36" spans="1:28" x14ac:dyDescent="0.25">
      <c r="A36" s="11"/>
      <c r="B36" s="11"/>
      <c r="C36" s="11"/>
      <c r="D36" s="11"/>
      <c r="E36" s="11"/>
      <c r="F36" s="11"/>
      <c r="G36" s="11"/>
      <c r="H36" s="11"/>
      <c r="I36" s="11"/>
      <c r="J36" s="11"/>
      <c r="K36" s="11"/>
      <c r="L36" s="11"/>
      <c r="M36" s="11"/>
      <c r="N36" s="11"/>
      <c r="O36" s="11"/>
      <c r="P36" s="11"/>
      <c r="Q36" s="11"/>
      <c r="R36" s="11"/>
      <c r="S36" s="11"/>
      <c r="T36" s="11"/>
      <c r="U36" s="10"/>
      <c r="V36" s="10"/>
      <c r="W36" s="10"/>
      <c r="X36" s="10"/>
      <c r="Y36" s="10"/>
      <c r="Z36" s="10"/>
      <c r="AA36" s="10"/>
      <c r="AB36" s="10"/>
    </row>
    <row r="37" spans="1:28" x14ac:dyDescent="0.25">
      <c r="A37" s="11"/>
      <c r="B37" s="11"/>
      <c r="C37" s="11"/>
      <c r="D37" s="11"/>
      <c r="E37" s="11"/>
      <c r="F37" s="11"/>
      <c r="G37" s="11"/>
      <c r="H37" s="11"/>
      <c r="I37" s="11"/>
      <c r="J37" s="11"/>
      <c r="K37" s="11"/>
      <c r="L37" s="11"/>
      <c r="M37" s="11"/>
      <c r="N37" s="11"/>
      <c r="O37" s="11"/>
      <c r="P37" s="11"/>
      <c r="Q37" s="11"/>
      <c r="R37" s="11"/>
      <c r="S37" s="11"/>
      <c r="T37" s="11"/>
      <c r="U37" s="10"/>
      <c r="V37" s="10"/>
      <c r="W37" s="10"/>
      <c r="X37" s="10"/>
      <c r="Y37" s="10"/>
      <c r="Z37" s="10"/>
      <c r="AA37" s="10"/>
      <c r="AB37"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00F9-3162-4719-AA54-632D0788E317}">
  <dimension ref="A3:R28"/>
  <sheetViews>
    <sheetView workbookViewId="0">
      <selection activeCell="M18" sqref="K18:M20"/>
    </sheetView>
  </sheetViews>
  <sheetFormatPr defaultRowHeight="15" x14ac:dyDescent="0.25"/>
  <cols>
    <col min="1" max="2" width="12.5703125" bestFit="1" customWidth="1"/>
    <col min="5" max="5" width="13.140625" bestFit="1" customWidth="1"/>
    <col min="6" max="6" width="12.5703125" bestFit="1" customWidth="1"/>
    <col min="8" max="8" width="13.140625" bestFit="1" customWidth="1"/>
    <col min="9" max="9" width="12.140625" bestFit="1" customWidth="1"/>
    <col min="11" max="11" width="14" customWidth="1"/>
    <col min="14" max="14" width="17.42578125" customWidth="1"/>
    <col min="15" max="15" width="9.28515625" bestFit="1" customWidth="1"/>
    <col min="18" max="18" width="22.7109375" customWidth="1"/>
  </cols>
  <sheetData>
    <row r="3" spans="1:18" ht="21" x14ac:dyDescent="0.35">
      <c r="A3" s="13" t="s">
        <v>42</v>
      </c>
      <c r="E3" t="s">
        <v>44</v>
      </c>
      <c r="H3" s="9" t="s">
        <v>48</v>
      </c>
      <c r="I3" s="9"/>
    </row>
    <row r="4" spans="1:18" ht="21" x14ac:dyDescent="0.35">
      <c r="A4" s="13">
        <v>4923.619999999999</v>
      </c>
      <c r="K4" s="9" t="s">
        <v>50</v>
      </c>
    </row>
    <row r="5" spans="1:18" x14ac:dyDescent="0.25">
      <c r="E5" s="6" t="s">
        <v>45</v>
      </c>
      <c r="F5" t="s">
        <v>43</v>
      </c>
      <c r="H5" s="6" t="s">
        <v>45</v>
      </c>
      <c r="I5" t="s">
        <v>42</v>
      </c>
    </row>
    <row r="6" spans="1:18" x14ac:dyDescent="0.25">
      <c r="E6" s="7">
        <v>2021</v>
      </c>
      <c r="F6" s="5">
        <v>0.31</v>
      </c>
      <c r="H6" s="7" t="s">
        <v>30</v>
      </c>
      <c r="I6" s="5">
        <v>2573.8200000000002</v>
      </c>
      <c r="K6" s="7" t="str">
        <f>H6</f>
        <v>Chairs</v>
      </c>
      <c r="L6">
        <f>GETPIVOTDATA("Sales",$H$5,"Sub-Category",K6)</f>
        <v>2573.8200000000002</v>
      </c>
    </row>
    <row r="7" spans="1:18" x14ac:dyDescent="0.25">
      <c r="E7" s="7" t="s">
        <v>47</v>
      </c>
      <c r="F7" s="5">
        <v>0.31</v>
      </c>
      <c r="H7" s="7" t="s">
        <v>32</v>
      </c>
      <c r="I7" s="5">
        <v>1147.94</v>
      </c>
      <c r="K7" s="7" t="str">
        <f t="shared" ref="K7:K15" si="0">H7</f>
        <v>Phones</v>
      </c>
      <c r="L7">
        <f t="shared" ref="L7:L15" si="1">GETPIVOTDATA("Sales",$H$5,"Sub-Category",K7)</f>
        <v>1147.94</v>
      </c>
      <c r="N7" s="1" t="s">
        <v>1</v>
      </c>
      <c r="O7" s="8" t="s">
        <v>9</v>
      </c>
    </row>
    <row r="8" spans="1:18" x14ac:dyDescent="0.25">
      <c r="H8" s="7" t="s">
        <v>19</v>
      </c>
      <c r="I8" s="5">
        <v>623.94999999999993</v>
      </c>
      <c r="K8" s="7" t="str">
        <f t="shared" si="0"/>
        <v>Binders</v>
      </c>
      <c r="L8">
        <f t="shared" si="1"/>
        <v>623.94999999999993</v>
      </c>
      <c r="N8" s="4" t="s">
        <v>10</v>
      </c>
      <c r="O8">
        <v>2021</v>
      </c>
      <c r="Q8" s="6" t="s">
        <v>45</v>
      </c>
      <c r="R8" t="s">
        <v>51</v>
      </c>
    </row>
    <row r="9" spans="1:18" x14ac:dyDescent="0.25">
      <c r="A9" s="13" t="s">
        <v>43</v>
      </c>
      <c r="H9" s="7" t="s">
        <v>18</v>
      </c>
      <c r="I9" s="5">
        <v>272.74</v>
      </c>
      <c r="K9" s="7" t="str">
        <f t="shared" si="0"/>
        <v>Storage</v>
      </c>
      <c r="L9">
        <f t="shared" si="1"/>
        <v>272.74</v>
      </c>
      <c r="N9" s="4" t="s">
        <v>15</v>
      </c>
      <c r="O9">
        <v>2021</v>
      </c>
      <c r="Q9" s="7">
        <v>2021</v>
      </c>
      <c r="R9" s="5">
        <v>21</v>
      </c>
    </row>
    <row r="10" spans="1:18" x14ac:dyDescent="0.25">
      <c r="A10" s="13">
        <v>1267.1899999999998</v>
      </c>
      <c r="H10" s="7" t="s">
        <v>35</v>
      </c>
      <c r="I10" s="5">
        <v>138.61000000000001</v>
      </c>
      <c r="K10" s="7" t="str">
        <f t="shared" si="0"/>
        <v>Furnishings</v>
      </c>
      <c r="L10">
        <f t="shared" si="1"/>
        <v>138.61000000000001</v>
      </c>
      <c r="N10" s="4" t="s">
        <v>15</v>
      </c>
      <c r="O10">
        <v>2021</v>
      </c>
      <c r="Q10" s="7" t="s">
        <v>47</v>
      </c>
      <c r="R10" s="5">
        <v>21</v>
      </c>
    </row>
    <row r="11" spans="1:18" x14ac:dyDescent="0.25">
      <c r="B11" s="12"/>
      <c r="H11" s="7" t="s">
        <v>22</v>
      </c>
      <c r="I11" s="5">
        <v>47.14</v>
      </c>
      <c r="K11" s="7" t="str">
        <f t="shared" si="0"/>
        <v>Art</v>
      </c>
      <c r="L11">
        <f t="shared" si="1"/>
        <v>47.14</v>
      </c>
      <c r="N11" s="4" t="s">
        <v>15</v>
      </c>
      <c r="O11">
        <v>2021</v>
      </c>
    </row>
    <row r="12" spans="1:18" x14ac:dyDescent="0.25">
      <c r="H12" s="7" t="s">
        <v>13</v>
      </c>
      <c r="I12" s="5">
        <v>42.43</v>
      </c>
      <c r="K12" s="7" t="str">
        <f t="shared" si="0"/>
        <v>Paper</v>
      </c>
      <c r="L12">
        <f t="shared" si="1"/>
        <v>42.43</v>
      </c>
      <c r="N12" s="4" t="s">
        <v>20</v>
      </c>
      <c r="O12">
        <v>2021</v>
      </c>
    </row>
    <row r="13" spans="1:18" x14ac:dyDescent="0.25">
      <c r="H13" s="7" t="s">
        <v>37</v>
      </c>
      <c r="I13" s="5">
        <v>31.2</v>
      </c>
      <c r="K13" s="7" t="str">
        <f t="shared" si="0"/>
        <v>Accessories</v>
      </c>
      <c r="L13">
        <f t="shared" si="1"/>
        <v>31.2</v>
      </c>
      <c r="N13" s="4" t="s">
        <v>23</v>
      </c>
      <c r="O13">
        <v>2021</v>
      </c>
    </row>
    <row r="14" spans="1:18" x14ac:dyDescent="0.25">
      <c r="H14" s="7" t="s">
        <v>33</v>
      </c>
      <c r="I14" s="5">
        <v>31.12</v>
      </c>
      <c r="K14" s="7" t="str">
        <f t="shared" si="0"/>
        <v>Fasteners</v>
      </c>
      <c r="L14">
        <f t="shared" si="1"/>
        <v>31.12</v>
      </c>
      <c r="N14" s="4" t="s">
        <v>25</v>
      </c>
      <c r="O14">
        <v>2021</v>
      </c>
    </row>
    <row r="15" spans="1:18" x14ac:dyDescent="0.25">
      <c r="H15" s="7" t="s">
        <v>17</v>
      </c>
      <c r="I15" s="5">
        <v>14.67</v>
      </c>
      <c r="K15" s="7" t="str">
        <f t="shared" si="0"/>
        <v>Labels</v>
      </c>
      <c r="L15">
        <f t="shared" si="1"/>
        <v>14.67</v>
      </c>
      <c r="N15" s="4" t="s">
        <v>27</v>
      </c>
      <c r="O15">
        <v>2021</v>
      </c>
    </row>
    <row r="16" spans="1:18" x14ac:dyDescent="0.25">
      <c r="H16" s="7" t="s">
        <v>46</v>
      </c>
      <c r="I16" s="5"/>
      <c r="N16" s="4" t="s">
        <v>27</v>
      </c>
      <c r="O16">
        <v>2021</v>
      </c>
    </row>
    <row r="17" spans="8:15" x14ac:dyDescent="0.25">
      <c r="H17" s="7" t="s">
        <v>47</v>
      </c>
      <c r="I17" s="5">
        <v>4923.62</v>
      </c>
      <c r="N17" s="4" t="s">
        <v>27</v>
      </c>
      <c r="O17">
        <v>2021</v>
      </c>
    </row>
    <row r="18" spans="8:15" x14ac:dyDescent="0.25">
      <c r="N18" s="4" t="s">
        <v>27</v>
      </c>
      <c r="O18">
        <v>2021</v>
      </c>
    </row>
    <row r="19" spans="8:15" x14ac:dyDescent="0.25">
      <c r="N19" s="4" t="s">
        <v>27</v>
      </c>
      <c r="O19">
        <v>2021</v>
      </c>
    </row>
    <row r="20" spans="8:15" x14ac:dyDescent="0.25">
      <c r="N20" s="4" t="s">
        <v>27</v>
      </c>
      <c r="O20">
        <v>2021</v>
      </c>
    </row>
    <row r="21" spans="8:15" x14ac:dyDescent="0.25">
      <c r="N21" s="4" t="s">
        <v>27</v>
      </c>
      <c r="O21">
        <v>2021</v>
      </c>
    </row>
    <row r="22" spans="8:15" ht="30" x14ac:dyDescent="0.25">
      <c r="N22" s="4" t="s">
        <v>34</v>
      </c>
      <c r="O22">
        <v>2021</v>
      </c>
    </row>
    <row r="23" spans="8:15" ht="30" x14ac:dyDescent="0.25">
      <c r="N23" s="4" t="s">
        <v>34</v>
      </c>
      <c r="O23">
        <v>2021</v>
      </c>
    </row>
    <row r="24" spans="8:15" x14ac:dyDescent="0.25">
      <c r="N24" s="4" t="s">
        <v>36</v>
      </c>
      <c r="O24">
        <v>2021</v>
      </c>
    </row>
    <row r="25" spans="8:15" x14ac:dyDescent="0.25">
      <c r="N25" s="4" t="s">
        <v>36</v>
      </c>
      <c r="O25">
        <v>2021</v>
      </c>
    </row>
    <row r="26" spans="8:15" x14ac:dyDescent="0.25">
      <c r="N26" s="4" t="s">
        <v>38</v>
      </c>
      <c r="O26">
        <v>2021</v>
      </c>
    </row>
    <row r="27" spans="8:15" x14ac:dyDescent="0.25">
      <c r="N27" s="4" t="s">
        <v>38</v>
      </c>
      <c r="O27">
        <v>2021</v>
      </c>
    </row>
    <row r="28" spans="8:15" x14ac:dyDescent="0.25">
      <c r="N28" s="4" t="s">
        <v>40</v>
      </c>
      <c r="O28">
        <v>2021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1C33C-2097-43CE-ADE0-CED728EBF80B}">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4170-84F1-4CD2-90C6-C31CAB1EEE35}">
  <dimension ref="A3:B26"/>
  <sheetViews>
    <sheetView workbookViewId="0">
      <selection activeCell="A3" sqref="A3:B26"/>
    </sheetView>
  </sheetViews>
  <sheetFormatPr defaultRowHeight="15" x14ac:dyDescent="0.25"/>
  <cols>
    <col min="1" max="1" width="13.140625" bestFit="1" customWidth="1"/>
    <col min="2" max="2" width="11.5703125" bestFit="1" customWidth="1"/>
  </cols>
  <sheetData>
    <row r="3" spans="1:2" x14ac:dyDescent="0.25">
      <c r="A3" s="6" t="s">
        <v>45</v>
      </c>
      <c r="B3" t="s">
        <v>52</v>
      </c>
    </row>
    <row r="4" spans="1:2" x14ac:dyDescent="0.25">
      <c r="A4" s="7">
        <v>-64.77</v>
      </c>
      <c r="B4" s="5">
        <v>2021</v>
      </c>
    </row>
    <row r="5" spans="1:2" x14ac:dyDescent="0.25">
      <c r="A5" s="7">
        <v>-53.71</v>
      </c>
      <c r="B5" s="5">
        <v>2021</v>
      </c>
    </row>
    <row r="6" spans="1:2" x14ac:dyDescent="0.25">
      <c r="A6" s="7">
        <v>-18.25</v>
      </c>
      <c r="B6" s="5">
        <v>2021</v>
      </c>
    </row>
    <row r="7" spans="1:2" x14ac:dyDescent="0.25">
      <c r="A7" s="7">
        <v>-5.49</v>
      </c>
      <c r="B7" s="5">
        <v>2021</v>
      </c>
    </row>
    <row r="8" spans="1:2" x14ac:dyDescent="0.25">
      <c r="A8" s="7">
        <v>0.31</v>
      </c>
      <c r="B8" s="5">
        <v>2021</v>
      </c>
    </row>
    <row r="9" spans="1:2" x14ac:dyDescent="0.25">
      <c r="A9" s="7">
        <v>1.17</v>
      </c>
      <c r="B9" s="5">
        <v>2021</v>
      </c>
    </row>
    <row r="10" spans="1:2" x14ac:dyDescent="0.25">
      <c r="A10" s="7">
        <v>1.36</v>
      </c>
      <c r="B10" s="5">
        <v>2021</v>
      </c>
    </row>
    <row r="11" spans="1:2" x14ac:dyDescent="0.25">
      <c r="A11" s="7">
        <v>1.48</v>
      </c>
      <c r="B11" s="5">
        <v>2021</v>
      </c>
    </row>
    <row r="12" spans="1:2" x14ac:dyDescent="0.25">
      <c r="A12" s="7">
        <v>3.01</v>
      </c>
      <c r="B12" s="5">
        <v>2021</v>
      </c>
    </row>
    <row r="13" spans="1:2" x14ac:dyDescent="0.25">
      <c r="A13" s="7">
        <v>3.08</v>
      </c>
      <c r="B13" s="5">
        <v>2021</v>
      </c>
    </row>
    <row r="14" spans="1:2" x14ac:dyDescent="0.25">
      <c r="A14" s="7">
        <v>4.2699999999999996</v>
      </c>
      <c r="B14" s="5">
        <v>2021</v>
      </c>
    </row>
    <row r="15" spans="1:2" x14ac:dyDescent="0.25">
      <c r="A15" s="7">
        <v>4.88</v>
      </c>
      <c r="B15" s="5">
        <v>2021</v>
      </c>
    </row>
    <row r="16" spans="1:2" x14ac:dyDescent="0.25">
      <c r="A16" s="7">
        <v>5.24</v>
      </c>
      <c r="B16" s="5">
        <v>2021</v>
      </c>
    </row>
    <row r="17" spans="1:2" x14ac:dyDescent="0.25">
      <c r="A17" s="7">
        <v>5.55</v>
      </c>
      <c r="B17" s="5">
        <v>2021</v>
      </c>
    </row>
    <row r="18" spans="1:2" x14ac:dyDescent="0.25">
      <c r="A18" s="7">
        <v>9.33</v>
      </c>
      <c r="B18" s="5">
        <v>2021</v>
      </c>
    </row>
    <row r="19" spans="1:2" x14ac:dyDescent="0.25">
      <c r="A19" s="7">
        <v>9.75</v>
      </c>
      <c r="B19" s="5">
        <v>2021</v>
      </c>
    </row>
    <row r="20" spans="1:2" x14ac:dyDescent="0.25">
      <c r="A20" s="7">
        <v>21.3</v>
      </c>
      <c r="B20" s="5">
        <v>2021</v>
      </c>
    </row>
    <row r="21" spans="1:2" x14ac:dyDescent="0.25">
      <c r="A21" s="7">
        <v>113.67</v>
      </c>
      <c r="B21" s="5">
        <v>2021</v>
      </c>
    </row>
    <row r="22" spans="1:2" x14ac:dyDescent="0.25">
      <c r="A22" s="7">
        <v>204.11</v>
      </c>
      <c r="B22" s="5">
        <v>2021</v>
      </c>
    </row>
    <row r="23" spans="1:2" x14ac:dyDescent="0.25">
      <c r="A23" s="7">
        <v>274.49</v>
      </c>
      <c r="B23" s="5">
        <v>2021</v>
      </c>
    </row>
    <row r="24" spans="1:2" x14ac:dyDescent="0.25">
      <c r="A24" s="7">
        <v>746.41</v>
      </c>
      <c r="B24" s="5">
        <v>2021</v>
      </c>
    </row>
    <row r="25" spans="1:2" x14ac:dyDescent="0.25">
      <c r="A25" s="7" t="s">
        <v>46</v>
      </c>
      <c r="B25" s="5"/>
    </row>
    <row r="26" spans="1:2" x14ac:dyDescent="0.25">
      <c r="A26" s="7" t="s">
        <v>47</v>
      </c>
      <c r="B26" s="5">
        <v>42441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DFF0-030A-4FC5-8069-AEE6D86F6CCE}">
  <dimension ref="A3:C6"/>
  <sheetViews>
    <sheetView workbookViewId="0">
      <selection activeCell="A3" sqref="A3"/>
    </sheetView>
  </sheetViews>
  <sheetFormatPr defaultRowHeight="15" x14ac:dyDescent="0.25"/>
  <cols>
    <col min="1" max="1" width="13.140625" bestFit="1" customWidth="1"/>
    <col min="2" max="2" width="15.140625" bestFit="1" customWidth="1"/>
    <col min="3" max="3" width="12.140625" bestFit="1" customWidth="1"/>
  </cols>
  <sheetData>
    <row r="3" spans="1:3" x14ac:dyDescent="0.25">
      <c r="A3" s="6" t="s">
        <v>45</v>
      </c>
      <c r="B3" t="s">
        <v>53</v>
      </c>
      <c r="C3" t="s">
        <v>42</v>
      </c>
    </row>
    <row r="4" spans="1:3" x14ac:dyDescent="0.25">
      <c r="A4" s="7">
        <v>2021</v>
      </c>
      <c r="B4" s="5">
        <v>21</v>
      </c>
      <c r="C4" s="5">
        <v>4923.619999999999</v>
      </c>
    </row>
    <row r="5" spans="1:3" x14ac:dyDescent="0.25">
      <c r="A5" s="7" t="s">
        <v>46</v>
      </c>
      <c r="B5" s="5"/>
      <c r="C5" s="5"/>
    </row>
    <row r="6" spans="1:3" x14ac:dyDescent="0.25">
      <c r="A6" s="7" t="s">
        <v>47</v>
      </c>
      <c r="B6" s="5">
        <v>21</v>
      </c>
      <c r="C6" s="5">
        <v>4923.619999999999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A25C-BC75-4451-91C9-55DBA71EBAD0}">
  <dimension ref="A1:J22"/>
  <sheetViews>
    <sheetView workbookViewId="0">
      <pane ySplit="1" topLeftCell="A2" activePane="bottomLeft" state="frozen"/>
      <selection pane="bottomLeft" sqref="A1:J22"/>
    </sheetView>
  </sheetViews>
  <sheetFormatPr defaultRowHeight="15" x14ac:dyDescent="0.25"/>
  <cols>
    <col min="1" max="1" width="12.85546875" customWidth="1"/>
    <col min="2" max="2" width="17.42578125" customWidth="1"/>
    <col min="4" max="4" width="11" customWidth="1"/>
    <col min="5" max="5" width="15" customWidth="1"/>
    <col min="7" max="7" width="10.85546875" customWidth="1"/>
  </cols>
  <sheetData>
    <row r="1" spans="1:10" ht="30" x14ac:dyDescent="0.25">
      <c r="A1" s="1" t="s">
        <v>0</v>
      </c>
      <c r="B1" s="1" t="s">
        <v>1</v>
      </c>
      <c r="C1" s="1" t="s">
        <v>2</v>
      </c>
      <c r="D1" s="1" t="s">
        <v>3</v>
      </c>
      <c r="E1" s="1" t="s">
        <v>4</v>
      </c>
      <c r="F1" s="1" t="s">
        <v>5</v>
      </c>
      <c r="G1" s="1" t="s">
        <v>6</v>
      </c>
      <c r="H1" s="1" t="s">
        <v>7</v>
      </c>
      <c r="I1" s="1" t="s">
        <v>8</v>
      </c>
      <c r="J1" s="1" t="s">
        <v>9</v>
      </c>
    </row>
    <row r="2" spans="1:10" ht="30" x14ac:dyDescent="0.25">
      <c r="A2" s="3">
        <v>44199</v>
      </c>
      <c r="B2" s="4" t="s">
        <v>10</v>
      </c>
      <c r="C2" s="4" t="s">
        <v>11</v>
      </c>
      <c r="D2" s="4" t="s">
        <v>12</v>
      </c>
      <c r="E2" s="4" t="s">
        <v>13</v>
      </c>
      <c r="F2" s="4">
        <v>16.45</v>
      </c>
      <c r="G2" s="4">
        <v>2</v>
      </c>
      <c r="H2" s="4">
        <v>5.55</v>
      </c>
      <c r="I2" s="4" t="s">
        <v>14</v>
      </c>
      <c r="J2" s="4">
        <v>2021</v>
      </c>
    </row>
    <row r="3" spans="1:10" ht="30" x14ac:dyDescent="0.25">
      <c r="A3" s="3">
        <v>44200</v>
      </c>
      <c r="B3" s="4" t="s">
        <v>15</v>
      </c>
      <c r="C3" s="4" t="s">
        <v>16</v>
      </c>
      <c r="D3" s="4" t="s">
        <v>12</v>
      </c>
      <c r="E3" s="4" t="s">
        <v>17</v>
      </c>
      <c r="F3" s="4">
        <v>11.78</v>
      </c>
      <c r="G3" s="4">
        <v>3</v>
      </c>
      <c r="H3" s="4">
        <v>4.2699999999999996</v>
      </c>
      <c r="I3" s="4" t="s">
        <v>14</v>
      </c>
      <c r="J3" s="4">
        <v>2021</v>
      </c>
    </row>
    <row r="4" spans="1:10" ht="30" x14ac:dyDescent="0.25">
      <c r="A4" s="3">
        <v>44200</v>
      </c>
      <c r="B4" s="4" t="s">
        <v>15</v>
      </c>
      <c r="C4" s="4" t="s">
        <v>16</v>
      </c>
      <c r="D4" s="4" t="s">
        <v>12</v>
      </c>
      <c r="E4" s="4" t="s">
        <v>18</v>
      </c>
      <c r="F4" s="4">
        <v>272.74</v>
      </c>
      <c r="G4" s="4">
        <v>3</v>
      </c>
      <c r="H4" s="4">
        <v>-64.77</v>
      </c>
      <c r="I4" s="4" t="s">
        <v>14</v>
      </c>
      <c r="J4" s="4">
        <v>2021</v>
      </c>
    </row>
    <row r="5" spans="1:10" ht="30" x14ac:dyDescent="0.25">
      <c r="A5" s="3">
        <v>44200</v>
      </c>
      <c r="B5" s="4" t="s">
        <v>15</v>
      </c>
      <c r="C5" s="4" t="s">
        <v>16</v>
      </c>
      <c r="D5" s="4" t="s">
        <v>12</v>
      </c>
      <c r="E5" s="4" t="s">
        <v>19</v>
      </c>
      <c r="F5" s="4">
        <v>3.54</v>
      </c>
      <c r="G5" s="4">
        <v>2</v>
      </c>
      <c r="H5" s="4">
        <v>-5.49</v>
      </c>
      <c r="I5" s="4" t="s">
        <v>14</v>
      </c>
      <c r="J5" s="4">
        <v>2021</v>
      </c>
    </row>
    <row r="6" spans="1:10" ht="30" x14ac:dyDescent="0.25">
      <c r="A6" s="3">
        <v>44201</v>
      </c>
      <c r="B6" s="4" t="s">
        <v>20</v>
      </c>
      <c r="C6" s="4" t="s">
        <v>21</v>
      </c>
      <c r="D6" s="4" t="s">
        <v>12</v>
      </c>
      <c r="E6" s="4" t="s">
        <v>22</v>
      </c>
      <c r="F6" s="4">
        <v>19.54</v>
      </c>
      <c r="G6" s="4">
        <v>3</v>
      </c>
      <c r="H6" s="4">
        <v>4.88</v>
      </c>
      <c r="I6" s="4" t="s">
        <v>14</v>
      </c>
      <c r="J6" s="4">
        <v>2021</v>
      </c>
    </row>
    <row r="7" spans="1:10" ht="30" x14ac:dyDescent="0.25">
      <c r="A7" s="3">
        <v>44202</v>
      </c>
      <c r="B7" s="4" t="s">
        <v>23</v>
      </c>
      <c r="C7" s="4" t="s">
        <v>24</v>
      </c>
      <c r="D7" s="4" t="s">
        <v>12</v>
      </c>
      <c r="E7" s="4" t="s">
        <v>13</v>
      </c>
      <c r="F7" s="4">
        <v>19.440000000000001</v>
      </c>
      <c r="G7" s="4">
        <v>3</v>
      </c>
      <c r="H7" s="4">
        <v>9.33</v>
      </c>
      <c r="I7" s="4" t="s">
        <v>14</v>
      </c>
      <c r="J7" s="4">
        <v>2021</v>
      </c>
    </row>
    <row r="8" spans="1:10" ht="30" x14ac:dyDescent="0.25">
      <c r="A8" s="3">
        <v>44202</v>
      </c>
      <c r="B8" s="4" t="s">
        <v>25</v>
      </c>
      <c r="C8" s="4" t="s">
        <v>26</v>
      </c>
      <c r="D8" s="4" t="s">
        <v>12</v>
      </c>
      <c r="E8" s="4" t="s">
        <v>22</v>
      </c>
      <c r="F8" s="4">
        <v>12.78</v>
      </c>
      <c r="G8" s="4">
        <v>3</v>
      </c>
      <c r="H8" s="4">
        <v>5.24</v>
      </c>
      <c r="I8" s="4" t="s">
        <v>14</v>
      </c>
      <c r="J8" s="4">
        <v>2021</v>
      </c>
    </row>
    <row r="9" spans="1:10" x14ac:dyDescent="0.25">
      <c r="A9" s="3">
        <v>47854</v>
      </c>
      <c r="B9" s="4" t="s">
        <v>27</v>
      </c>
      <c r="C9" s="4" t="s">
        <v>28</v>
      </c>
      <c r="D9" s="4" t="s">
        <v>29</v>
      </c>
      <c r="E9" s="4" t="s">
        <v>30</v>
      </c>
      <c r="F9" s="4">
        <v>2573.8200000000002</v>
      </c>
      <c r="G9" s="4">
        <v>9</v>
      </c>
      <c r="H9" s="4">
        <v>746.41</v>
      </c>
      <c r="I9" s="4" t="s">
        <v>14</v>
      </c>
      <c r="J9" s="4">
        <v>2021</v>
      </c>
    </row>
    <row r="10" spans="1:10" ht="30" x14ac:dyDescent="0.25">
      <c r="A10" s="3">
        <v>44202</v>
      </c>
      <c r="B10" s="4" t="s">
        <v>27</v>
      </c>
      <c r="C10" s="4" t="s">
        <v>28</v>
      </c>
      <c r="D10" s="4" t="s">
        <v>12</v>
      </c>
      <c r="E10" s="4" t="s">
        <v>19</v>
      </c>
      <c r="F10" s="4">
        <v>609.98</v>
      </c>
      <c r="G10" s="4">
        <v>2</v>
      </c>
      <c r="H10" s="4">
        <v>274.49</v>
      </c>
      <c r="I10" s="4" t="s">
        <v>14</v>
      </c>
      <c r="J10" s="4">
        <v>2021</v>
      </c>
    </row>
    <row r="11" spans="1:10" ht="30" x14ac:dyDescent="0.25">
      <c r="A11" s="3">
        <v>44567</v>
      </c>
      <c r="B11" s="4" t="s">
        <v>27</v>
      </c>
      <c r="C11" s="4" t="s">
        <v>28</v>
      </c>
      <c r="D11" s="4" t="s">
        <v>12</v>
      </c>
      <c r="E11" s="4" t="s">
        <v>22</v>
      </c>
      <c r="F11" s="4">
        <v>5.48</v>
      </c>
      <c r="G11" s="4">
        <v>2</v>
      </c>
      <c r="H11" s="4">
        <v>1.48</v>
      </c>
      <c r="I11" s="4" t="s">
        <v>14</v>
      </c>
      <c r="J11" s="4">
        <v>2021</v>
      </c>
    </row>
    <row r="12" spans="1:10" ht="30" x14ac:dyDescent="0.25">
      <c r="A12" s="3">
        <v>44932</v>
      </c>
      <c r="B12" s="4" t="s">
        <v>27</v>
      </c>
      <c r="C12" s="4" t="s">
        <v>28</v>
      </c>
      <c r="D12" s="4" t="s">
        <v>31</v>
      </c>
      <c r="E12" s="4" t="s">
        <v>32</v>
      </c>
      <c r="F12" s="4">
        <v>391.98</v>
      </c>
      <c r="G12" s="4">
        <v>2</v>
      </c>
      <c r="H12" s="4">
        <v>113.67</v>
      </c>
      <c r="I12" s="4" t="s">
        <v>14</v>
      </c>
      <c r="J12" s="4">
        <v>2021</v>
      </c>
    </row>
    <row r="13" spans="1:10" ht="30" x14ac:dyDescent="0.25">
      <c r="A13" s="3">
        <v>44202</v>
      </c>
      <c r="B13" s="4" t="s">
        <v>27</v>
      </c>
      <c r="C13" s="4" t="s">
        <v>28</v>
      </c>
      <c r="D13" s="4" t="s">
        <v>31</v>
      </c>
      <c r="E13" s="4" t="s">
        <v>32</v>
      </c>
      <c r="F13" s="4">
        <v>755.96</v>
      </c>
      <c r="G13" s="4">
        <v>4</v>
      </c>
      <c r="H13" s="4">
        <v>204.11</v>
      </c>
      <c r="I13" s="4" t="s">
        <v>14</v>
      </c>
      <c r="J13" s="4">
        <v>2021</v>
      </c>
    </row>
    <row r="14" spans="1:10" ht="30" x14ac:dyDescent="0.25">
      <c r="A14" s="3">
        <v>44567</v>
      </c>
      <c r="B14" s="4" t="s">
        <v>27</v>
      </c>
      <c r="C14" s="4" t="s">
        <v>28</v>
      </c>
      <c r="D14" s="4" t="s">
        <v>12</v>
      </c>
      <c r="E14" s="4" t="s">
        <v>33</v>
      </c>
      <c r="F14" s="4">
        <v>31.12</v>
      </c>
      <c r="G14" s="4">
        <v>4</v>
      </c>
      <c r="H14" s="4">
        <v>0.31</v>
      </c>
      <c r="I14" s="4" t="s">
        <v>14</v>
      </c>
      <c r="J14" s="4">
        <v>2021</v>
      </c>
    </row>
    <row r="15" spans="1:10" ht="30" x14ac:dyDescent="0.25">
      <c r="A15" s="3">
        <v>45297</v>
      </c>
      <c r="B15" s="4" t="s">
        <v>27</v>
      </c>
      <c r="C15" s="4" t="s">
        <v>28</v>
      </c>
      <c r="D15" s="4" t="s">
        <v>12</v>
      </c>
      <c r="E15" s="4" t="s">
        <v>13</v>
      </c>
      <c r="F15" s="4">
        <v>6.54</v>
      </c>
      <c r="G15" s="4">
        <v>1</v>
      </c>
      <c r="H15" s="4">
        <v>3.01</v>
      </c>
      <c r="I15" s="4" t="s">
        <v>14</v>
      </c>
      <c r="J15" s="4">
        <v>2021</v>
      </c>
    </row>
    <row r="16" spans="1:10" ht="30" x14ac:dyDescent="0.25">
      <c r="A16" s="3">
        <v>45298</v>
      </c>
      <c r="B16" s="4" t="s">
        <v>34</v>
      </c>
      <c r="C16" s="4" t="s">
        <v>11</v>
      </c>
      <c r="D16" s="4" t="s">
        <v>29</v>
      </c>
      <c r="E16" s="4" t="s">
        <v>35</v>
      </c>
      <c r="F16" s="4">
        <v>76.73</v>
      </c>
      <c r="G16" s="4">
        <v>3</v>
      </c>
      <c r="H16" s="4">
        <v>-53.71</v>
      </c>
      <c r="I16" s="4" t="s">
        <v>14</v>
      </c>
      <c r="J16" s="4">
        <v>2021</v>
      </c>
    </row>
    <row r="17" spans="1:10" ht="45" x14ac:dyDescent="0.25">
      <c r="A17" s="3">
        <v>44203</v>
      </c>
      <c r="B17" s="4" t="s">
        <v>34</v>
      </c>
      <c r="C17" s="4" t="s">
        <v>11</v>
      </c>
      <c r="D17" s="4" t="s">
        <v>12</v>
      </c>
      <c r="E17" s="4" t="s">
        <v>19</v>
      </c>
      <c r="F17" s="4">
        <v>10.43</v>
      </c>
      <c r="G17" s="4">
        <v>7</v>
      </c>
      <c r="H17" s="4">
        <v>-18.25</v>
      </c>
      <c r="I17" s="4" t="s">
        <v>14</v>
      </c>
      <c r="J17" s="4">
        <v>2021</v>
      </c>
    </row>
    <row r="18" spans="1:10" ht="30" x14ac:dyDescent="0.25">
      <c r="A18" s="3">
        <v>44205</v>
      </c>
      <c r="B18" s="4" t="s">
        <v>36</v>
      </c>
      <c r="C18" s="4" t="s">
        <v>11</v>
      </c>
      <c r="D18" s="4" t="s">
        <v>12</v>
      </c>
      <c r="E18" s="4" t="s">
        <v>22</v>
      </c>
      <c r="F18" s="4">
        <v>9.34</v>
      </c>
      <c r="G18" s="4">
        <v>2</v>
      </c>
      <c r="H18" s="4">
        <v>1.17</v>
      </c>
      <c r="I18" s="4" t="s">
        <v>14</v>
      </c>
      <c r="J18" s="4">
        <v>2021</v>
      </c>
    </row>
    <row r="19" spans="1:10" ht="30" x14ac:dyDescent="0.25">
      <c r="A19" s="3">
        <v>44205</v>
      </c>
      <c r="B19" s="4" t="s">
        <v>36</v>
      </c>
      <c r="C19" s="4" t="s">
        <v>11</v>
      </c>
      <c r="D19" s="4" t="s">
        <v>31</v>
      </c>
      <c r="E19" s="4" t="s">
        <v>37</v>
      </c>
      <c r="F19" s="4">
        <v>31.2</v>
      </c>
      <c r="G19" s="4">
        <v>3</v>
      </c>
      <c r="H19" s="4">
        <v>9.75</v>
      </c>
      <c r="I19" s="4" t="s">
        <v>14</v>
      </c>
      <c r="J19" s="4">
        <v>2021</v>
      </c>
    </row>
    <row r="20" spans="1:10" ht="30" x14ac:dyDescent="0.25">
      <c r="A20" s="3">
        <v>44206</v>
      </c>
      <c r="B20" s="4" t="s">
        <v>38</v>
      </c>
      <c r="C20" s="4" t="s">
        <v>39</v>
      </c>
      <c r="D20" s="4" t="s">
        <v>12</v>
      </c>
      <c r="E20" s="4" t="s">
        <v>17</v>
      </c>
      <c r="F20" s="4">
        <v>2.89</v>
      </c>
      <c r="G20" s="4">
        <v>1</v>
      </c>
      <c r="H20" s="4">
        <v>1.36</v>
      </c>
      <c r="I20" s="4" t="s">
        <v>14</v>
      </c>
      <c r="J20" s="4">
        <v>2021</v>
      </c>
    </row>
    <row r="21" spans="1:10" ht="30" x14ac:dyDescent="0.25">
      <c r="A21" s="3">
        <v>44206</v>
      </c>
      <c r="B21" s="4" t="s">
        <v>38</v>
      </c>
      <c r="C21" s="4" t="s">
        <v>39</v>
      </c>
      <c r="D21" s="4" t="s">
        <v>29</v>
      </c>
      <c r="E21" s="4" t="s">
        <v>35</v>
      </c>
      <c r="F21" s="4">
        <v>51.94</v>
      </c>
      <c r="G21" s="4">
        <v>1</v>
      </c>
      <c r="H21" s="4">
        <v>21.3</v>
      </c>
      <c r="I21" s="4" t="s">
        <v>14</v>
      </c>
      <c r="J21" s="4">
        <v>2021</v>
      </c>
    </row>
    <row r="22" spans="1:10" ht="30" x14ac:dyDescent="0.25">
      <c r="A22" s="3">
        <v>44207</v>
      </c>
      <c r="B22" s="4" t="s">
        <v>40</v>
      </c>
      <c r="C22" s="4" t="s">
        <v>41</v>
      </c>
      <c r="D22" s="4" t="s">
        <v>29</v>
      </c>
      <c r="E22" s="4" t="s">
        <v>35</v>
      </c>
      <c r="F22" s="4">
        <v>9.94</v>
      </c>
      <c r="G22" s="4">
        <v>2</v>
      </c>
      <c r="H22" s="4">
        <v>3.08</v>
      </c>
      <c r="I22" s="4" t="s">
        <v>14</v>
      </c>
      <c r="J22" s="4">
        <v>2021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56EE6-2A3D-480F-BD2D-6463C88CEA2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Sheet4</vt:lpstr>
      <vt:lpstr>Sheet3</vt:lpstr>
      <vt:lpstr>Sheet5</vt:lpstr>
      <vt:lpstr>Sheet6</vt:lpstr>
      <vt:lpstr>Sheet7</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2026-06-08T03:55:54Z</dcterms:created>
  <dcterms:modified xsi:type="dcterms:W3CDTF">2026-06-08T08:45:00Z</dcterms:modified>
</cp:coreProperties>
</file>