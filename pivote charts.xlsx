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MITS\Desktop\"/>
    </mc:Choice>
  </mc:AlternateContent>
  <xr:revisionPtr revIDLastSave="0" documentId="8_{D68C782B-5C02-4907-B8F3-11D402F94109}" xr6:coauthVersionLast="47" xr6:coauthVersionMax="47" xr10:uidLastSave="{00000000-0000-0000-0000-000000000000}"/>
  <bookViews>
    <workbookView xWindow="-120" yWindow="-120" windowWidth="29040" windowHeight="15720" activeTab="5" xr2:uid="{83FA695F-2CEC-4AAE-8606-041729FFE3AF}"/>
  </bookViews>
  <sheets>
    <sheet name="Sheet2" sheetId="2" r:id="rId1"/>
    <sheet name="Detail1" sheetId="3" r:id="rId2"/>
    <sheet name="Sheet3" sheetId="4" r:id="rId3"/>
    <sheet name="Sheet4" sheetId="5" r:id="rId4"/>
    <sheet name="Sheet5" sheetId="6" r:id="rId5"/>
    <sheet name="Sheet1" sheetId="1" r:id="rId6"/>
  </sheets>
  <definedNames>
    <definedName name="Slicer_Age">#N/A</definedName>
    <definedName name="Slicer_Balance">#N/A</definedName>
    <definedName name="Slicer_CreditScore">#N/A</definedName>
    <definedName name="Slicer_EstimatedSalary">#N/A</definedName>
    <definedName name="Slicer_Gender">#N/A</definedName>
    <definedName name="Slicer_Gender1">#N/A</definedName>
    <definedName name="Slicer_Gender2">#N/A</definedName>
    <definedName name="Slicer_Geography">#N/A</definedName>
    <definedName name="Slicer_NumOfProducts">#N/A</definedName>
  </definedNames>
  <calcPr calcId="191029"/>
  <pivotCaches>
    <pivotCache cacheId="26" r:id="rId7"/>
    <pivotCache cacheId="2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<sst xmlns="http://schemas.openxmlformats.org/spreadsheetml/2006/main" count="152" uniqueCount="29">
  <si>
    <t>CreditScore</t>
  </si>
  <si>
    <t>Geography</t>
  </si>
  <si>
    <t>Gender</t>
  </si>
  <si>
    <t>Age</t>
  </si>
  <si>
    <t>Tenure</t>
  </si>
  <si>
    <t>Balance</t>
  </si>
  <si>
    <t>NumOfProducts</t>
  </si>
  <si>
    <t>HasCrCard</t>
  </si>
  <si>
    <t>IsActiveMember</t>
  </si>
  <si>
    <t>EstimatedSalary</t>
  </si>
  <si>
    <t>France</t>
  </si>
  <si>
    <t>Female</t>
  </si>
  <si>
    <t>Spain</t>
  </si>
  <si>
    <t>Male</t>
  </si>
  <si>
    <t>Germany</t>
  </si>
  <si>
    <t>Column Labels</t>
  </si>
  <si>
    <t>Grand Total</t>
  </si>
  <si>
    <t>Row Labels</t>
  </si>
  <si>
    <t>Sum of Balance</t>
  </si>
  <si>
    <t>Count of Gender</t>
  </si>
  <si>
    <t>Details for Count of Gender - Gender: Male</t>
  </si>
  <si>
    <t>Sum of CreditScore</t>
  </si>
  <si>
    <t>18-37</t>
  </si>
  <si>
    <t>38-57</t>
  </si>
  <si>
    <t>58-77</t>
  </si>
  <si>
    <t>Max of Age</t>
  </si>
  <si>
    <t>Max of Balance</t>
  </si>
  <si>
    <t>Sum of NumOfProducts</t>
  </si>
  <si>
    <t>Average of EstimatedSalary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</si>
</sst>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charts.xlsx]Sheet2!PivotTable1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France</c:v>
                </c:pt>
              </c:strCache>
            </c:strRef>
          </c:tx>
          <c:spPr>
            <a:solidFill>
              <a:schemeClr val="accent1"/>
            </a:solidFill>
            <a:ln>
              <a:noFill/>
            </a:ln>
            <a:effectLst/>
          </c:spPr>
          <c:invertIfNegative val="0"/>
          <c:cat>
            <c:strRef>
              <c:f>Sheet2!$A$5:$A$7</c:f>
              <c:strCache>
                <c:ptCount val="2"/>
                <c:pt idx="0">
                  <c:v>Female</c:v>
                </c:pt>
                <c:pt idx="1">
                  <c:v>Male</c:v>
                </c:pt>
              </c:strCache>
            </c:strRef>
          </c:cat>
          <c:val>
            <c:numRef>
              <c:f>Sheet2!$B$5:$B$7</c:f>
              <c:numCache>
                <c:formatCode>General</c:formatCode>
                <c:ptCount val="2"/>
                <c:pt idx="0">
                  <c:v>6</c:v>
                </c:pt>
                <c:pt idx="1">
                  <c:v>5</c:v>
                </c:pt>
              </c:numCache>
            </c:numRef>
          </c:val>
          <c:extLst>
            <c:ext xmlns:c16="http://schemas.microsoft.com/office/drawing/2014/chart" uri="{C3380CC4-5D6E-409C-BE32-E72D297353CC}">
              <c16:uniqueId val="{00000000-630D-4971-89E0-A140AAA28096}"/>
            </c:ext>
          </c:extLst>
        </c:ser>
        <c:ser>
          <c:idx val="1"/>
          <c:order val="1"/>
          <c:tx>
            <c:strRef>
              <c:f>Sheet2!$C$3:$C$4</c:f>
              <c:strCache>
                <c:ptCount val="1"/>
                <c:pt idx="0">
                  <c:v>Germany</c:v>
                </c:pt>
              </c:strCache>
            </c:strRef>
          </c:tx>
          <c:spPr>
            <a:solidFill>
              <a:schemeClr val="accent2"/>
            </a:solidFill>
            <a:ln>
              <a:noFill/>
            </a:ln>
            <a:effectLst/>
          </c:spPr>
          <c:invertIfNegative val="0"/>
          <c:cat>
            <c:strRef>
              <c:f>Sheet2!$A$5:$A$7</c:f>
              <c:strCache>
                <c:ptCount val="2"/>
                <c:pt idx="0">
                  <c:v>Female</c:v>
                </c:pt>
                <c:pt idx="1">
                  <c:v>Male</c:v>
                </c:pt>
              </c:strCache>
            </c:strRef>
          </c:cat>
          <c:val>
            <c:numRef>
              <c:f>Sheet2!$C$5:$C$7</c:f>
              <c:numCache>
                <c:formatCode>General</c:formatCode>
                <c:ptCount val="2"/>
                <c:pt idx="0">
                  <c:v>1</c:v>
                </c:pt>
                <c:pt idx="1">
                  <c:v>2</c:v>
                </c:pt>
              </c:numCache>
            </c:numRef>
          </c:val>
          <c:extLst>
            <c:ext xmlns:c16="http://schemas.microsoft.com/office/drawing/2014/chart" uri="{C3380CC4-5D6E-409C-BE32-E72D297353CC}">
              <c16:uniqueId val="{00000001-630D-4971-89E0-A140AAA28096}"/>
            </c:ext>
          </c:extLst>
        </c:ser>
        <c:ser>
          <c:idx val="2"/>
          <c:order val="2"/>
          <c:tx>
            <c:strRef>
              <c:f>Sheet2!$D$3:$D$4</c:f>
              <c:strCache>
                <c:ptCount val="1"/>
                <c:pt idx="0">
                  <c:v>Spain</c:v>
                </c:pt>
              </c:strCache>
            </c:strRef>
          </c:tx>
          <c:spPr>
            <a:solidFill>
              <a:schemeClr val="accent3"/>
            </a:solidFill>
            <a:ln>
              <a:noFill/>
            </a:ln>
            <a:effectLst/>
          </c:spPr>
          <c:invertIfNegative val="0"/>
          <c:cat>
            <c:strRef>
              <c:f>Sheet2!$A$5:$A$7</c:f>
              <c:strCache>
                <c:ptCount val="2"/>
                <c:pt idx="0">
                  <c:v>Female</c:v>
                </c:pt>
                <c:pt idx="1">
                  <c:v>Male</c:v>
                </c:pt>
              </c:strCache>
            </c:strRef>
          </c:cat>
          <c:val>
            <c:numRef>
              <c:f>Sheet2!$D$5:$D$7</c:f>
              <c:numCache>
                <c:formatCode>General</c:formatCode>
                <c:ptCount val="2"/>
                <c:pt idx="0">
                  <c:v>6</c:v>
                </c:pt>
                <c:pt idx="1">
                  <c:v>3</c:v>
                </c:pt>
              </c:numCache>
            </c:numRef>
          </c:val>
          <c:extLst>
            <c:ext xmlns:c16="http://schemas.microsoft.com/office/drawing/2014/chart" uri="{C3380CC4-5D6E-409C-BE32-E72D297353CC}">
              <c16:uniqueId val="{00000002-630D-4971-89E0-A140AAA28096}"/>
            </c:ext>
          </c:extLst>
        </c:ser>
        <c:dLbls>
          <c:showLegendKey val="0"/>
          <c:showVal val="0"/>
          <c:showCatName val="0"/>
          <c:showSerName val="0"/>
          <c:showPercent val="0"/>
          <c:showBubbleSize val="0"/>
        </c:dLbls>
        <c:gapWidth val="219"/>
        <c:overlap val="-27"/>
        <c:axId val="525872479"/>
        <c:axId val="525871039"/>
      </c:barChart>
      <c:catAx>
        <c:axId val="52587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71039"/>
        <c:crosses val="autoZero"/>
        <c:auto val="1"/>
        <c:lblAlgn val="ctr"/>
        <c:lblOffset val="100"/>
        <c:noMultiLvlLbl val="0"/>
      </c:catAx>
      <c:valAx>
        <c:axId val="52587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87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charts.xlsx]Sheet3!PivotTable4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Sheet3!$B$3:$B$4</c:f>
              <c:strCache>
                <c:ptCount val="1"/>
                <c:pt idx="0">
                  <c:v>Female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Sheet3!$A$5:$A$8</c:f>
              <c:strCache>
                <c:ptCount val="3"/>
                <c:pt idx="0">
                  <c:v>18-37</c:v>
                </c:pt>
                <c:pt idx="1">
                  <c:v>38-57</c:v>
                </c:pt>
                <c:pt idx="2">
                  <c:v>58-77</c:v>
                </c:pt>
              </c:strCache>
            </c:strRef>
          </c:cat>
          <c:val>
            <c:numRef>
              <c:f>Sheet3!$B$5:$B$8</c:f>
              <c:numCache>
                <c:formatCode>General</c:formatCode>
                <c:ptCount val="3"/>
                <c:pt idx="0">
                  <c:v>3947</c:v>
                </c:pt>
                <c:pt idx="1">
                  <c:v>3788</c:v>
                </c:pt>
              </c:numCache>
            </c:numRef>
          </c:val>
          <c:extLst>
            <c:ext xmlns:c16="http://schemas.microsoft.com/office/drawing/2014/chart" uri="{C3380CC4-5D6E-409C-BE32-E72D297353CC}">
              <c16:uniqueId val="{00000000-E008-4198-8551-5C8ADA46EC4C}"/>
            </c:ext>
          </c:extLst>
        </c:ser>
        <c:ser>
          <c:idx val="1"/>
          <c:order val="1"/>
          <c:tx>
            <c:strRef>
              <c:f>Sheet3!$C$3:$C$4</c:f>
              <c:strCache>
                <c:ptCount val="1"/>
                <c:pt idx="0">
                  <c:v>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Sheet3!$A$5:$A$8</c:f>
              <c:strCache>
                <c:ptCount val="3"/>
                <c:pt idx="0">
                  <c:v>18-37</c:v>
                </c:pt>
                <c:pt idx="1">
                  <c:v>38-57</c:v>
                </c:pt>
                <c:pt idx="2">
                  <c:v>58-77</c:v>
                </c:pt>
              </c:strCache>
            </c:strRef>
          </c:cat>
          <c:val>
            <c:numRef>
              <c:f>Sheet3!$C$5:$C$8</c:f>
              <c:numCache>
                <c:formatCode>General</c:formatCode>
                <c:ptCount val="3"/>
                <c:pt idx="0">
                  <c:v>1709</c:v>
                </c:pt>
                <c:pt idx="1">
                  <c:v>3903</c:v>
                </c:pt>
                <c:pt idx="2">
                  <c:v>653</c:v>
                </c:pt>
              </c:numCache>
            </c:numRef>
          </c:val>
          <c:extLst>
            <c:ext xmlns:c16="http://schemas.microsoft.com/office/drawing/2014/chart" uri="{C3380CC4-5D6E-409C-BE32-E72D297353CC}">
              <c16:uniqueId val="{00000003-E008-4198-8551-5C8ADA46EC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charts.xlsx]Sheet1!PivotTable19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Sheet1!$Q$33</c:f>
              <c:strCache>
                <c:ptCount val="1"/>
                <c:pt idx="0">
                  <c:v>Total</c:v>
                </c:pt>
              </c:strCache>
            </c:strRef>
          </c:tx>
          <c:spPr>
            <a:solidFill>
              <a:schemeClr val="accent1"/>
            </a:solidFill>
            <a:ln>
              <a:noFill/>
            </a:ln>
            <a:effectLst/>
          </c:spPr>
          <c:invertIfNegative val="0"/>
          <c:cat>
            <c:strRef>
              <c:f>Sheet1!$P$34:$P$38</c:f>
              <c:strCache>
                <c:ptCount val="4"/>
                <c:pt idx="0">
                  <c:v>83807.86</c:v>
                </c:pt>
                <c:pt idx="1">
                  <c:v>113755.78</c:v>
                </c:pt>
                <c:pt idx="2">
                  <c:v>115046.74</c:v>
                </c:pt>
                <c:pt idx="3">
                  <c:v>125510.82</c:v>
                </c:pt>
              </c:strCache>
            </c:strRef>
          </c:cat>
          <c:val>
            <c:numRef>
              <c:f>Sheet1!$Q$34:$Q$38</c:f>
              <c:numCache>
                <c:formatCode>General</c:formatCode>
                <c:ptCount val="4"/>
                <c:pt idx="0">
                  <c:v>83807.86</c:v>
                </c:pt>
                <c:pt idx="1">
                  <c:v>113755.78</c:v>
                </c:pt>
                <c:pt idx="2">
                  <c:v>115046.74</c:v>
                </c:pt>
                <c:pt idx="3">
                  <c:v>125510.82</c:v>
                </c:pt>
              </c:numCache>
            </c:numRef>
          </c:val>
          <c:extLst>
            <c:ext xmlns:c16="http://schemas.microsoft.com/office/drawing/2014/chart" uri="{C3380CC4-5D6E-409C-BE32-E72D297353CC}">
              <c16:uniqueId val="{00000000-D156-4F24-A1BF-89E17943FE4E}"/>
            </c:ext>
          </c:extLst>
        </c:ser>
        <c:dLbls>
          <c:showLegendKey val="0"/>
          <c:showVal val="0"/>
          <c:showCatName val="0"/>
          <c:showSerName val="0"/>
          <c:showPercent val="0"/>
          <c:showBubbleSize val="0"/>
        </c:dLbls>
        <c:gapWidth val="219"/>
        <c:overlap val="-27"/>
        <c:axId val="1604612096"/>
        <c:axId val="1604610176"/>
      </c:barChart>
      <c:catAx>
        <c:axId val="160461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10176"/>
        <c:crosses val="autoZero"/>
        <c:auto val="1"/>
        <c:lblAlgn val="ctr"/>
        <c:lblOffset val="100"/>
        <c:noMultiLvlLbl val="0"/>
      </c:catAx>
      <c:valAx>
        <c:axId val="160461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1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charts.xlsx]Sheet1!PivotTable20</c:name>
    <c:fmtId val="1"/>
  </c:pivotSource>
  <c:chart>
    <c:title>
      <c:layout>
        <c:manualLayout>
          <c:xMode val="edge"/>
          <c:yMode val="edge"/>
          <c:x val="0.43636363636363634"/>
          <c:y val="0.13774471946833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Sheet1!$V$33</c:f>
              <c:strCache>
                <c:ptCount val="1"/>
                <c:pt idx="0">
                  <c:v>Total</c:v>
                </c:pt>
              </c:strCache>
            </c:strRef>
          </c:tx>
          <c:dPt>
            <c:idx val="0"/>
            <c:bubble3D val="0"/>
            <c:spPr>
              <a:solidFill>
                <a:schemeClr val="accent1"/>
              </a:solidFill>
              <a:ln w="19050">
                <a:solidFill>
                  <a:schemeClr val="lt1"/>
                </a:solidFill>
              </a:ln>
              <a:effectLst/>
            </c:spPr>
          </c:dPt>
          <c:cat>
            <c:strRef>
              <c:f>Sheet1!$U$34:$U$35</c:f>
              <c:strCache>
                <c:ptCount val="1"/>
                <c:pt idx="0">
                  <c:v>10062.8</c:v>
                </c:pt>
              </c:strCache>
            </c:strRef>
          </c:cat>
          <c:val>
            <c:numRef>
              <c:f>Sheet1!$V$34:$V$35</c:f>
              <c:numCache>
                <c:formatCode>General</c:formatCode>
                <c:ptCount val="1"/>
                <c:pt idx="0">
                  <c:v>10062.799999999999</c:v>
                </c:pt>
              </c:numCache>
            </c:numRef>
          </c:val>
          <c:extLst>
            <c:ext xmlns:c16="http://schemas.microsoft.com/office/drawing/2014/chart" uri="{C3380CC4-5D6E-409C-BE32-E72D297353CC}">
              <c16:uniqueId val="{00000000-30CB-4460-8EC3-E75F8B8EAC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charts.xlsx]Sheet1!PivotTable3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Sheet1!$L$3:$L$4</c:f>
              <c:strCache>
                <c:ptCount val="1"/>
                <c:pt idx="0">
                  <c:v>France</c:v>
                </c:pt>
              </c:strCache>
            </c:strRef>
          </c:tx>
          <c:spPr>
            <a:solidFill>
              <a:schemeClr val="accent1"/>
            </a:solidFill>
            <a:ln>
              <a:noFill/>
            </a:ln>
            <a:effectLst/>
          </c:spPr>
          <c:invertIfNegative val="0"/>
          <c:cat>
            <c:strRef>
              <c:f>Sheet1!$K$5:$K$7</c:f>
              <c:strCache>
                <c:ptCount val="2"/>
                <c:pt idx="0">
                  <c:v>Female</c:v>
                </c:pt>
                <c:pt idx="1">
                  <c:v>Male</c:v>
                </c:pt>
              </c:strCache>
            </c:strRef>
          </c:cat>
          <c:val>
            <c:numRef>
              <c:f>Sheet1!$L$5:$L$7</c:f>
              <c:numCache>
                <c:formatCode>General</c:formatCode>
                <c:ptCount val="2"/>
                <c:pt idx="0">
                  <c:v>6</c:v>
                </c:pt>
                <c:pt idx="1">
                  <c:v>5</c:v>
                </c:pt>
              </c:numCache>
            </c:numRef>
          </c:val>
          <c:extLst>
            <c:ext xmlns:c16="http://schemas.microsoft.com/office/drawing/2014/chart" uri="{C3380CC4-5D6E-409C-BE32-E72D297353CC}">
              <c16:uniqueId val="{00000000-E999-4A4F-BBAA-FCB83E81DDF8}"/>
            </c:ext>
          </c:extLst>
        </c:ser>
        <c:ser>
          <c:idx val="1"/>
          <c:order val="1"/>
          <c:tx>
            <c:strRef>
              <c:f>Sheet1!$M$3:$M$4</c:f>
              <c:strCache>
                <c:ptCount val="1"/>
                <c:pt idx="0">
                  <c:v>Germany</c:v>
                </c:pt>
              </c:strCache>
            </c:strRef>
          </c:tx>
          <c:spPr>
            <a:solidFill>
              <a:schemeClr val="accent2"/>
            </a:solidFill>
            <a:ln>
              <a:noFill/>
            </a:ln>
            <a:effectLst/>
          </c:spPr>
          <c:invertIfNegative val="0"/>
          <c:cat>
            <c:strRef>
              <c:f>Sheet1!$K$5:$K$7</c:f>
              <c:strCache>
                <c:ptCount val="2"/>
                <c:pt idx="0">
                  <c:v>Female</c:v>
                </c:pt>
                <c:pt idx="1">
                  <c:v>Male</c:v>
                </c:pt>
              </c:strCache>
            </c:strRef>
          </c:cat>
          <c:val>
            <c:numRef>
              <c:f>Sheet1!$M$5:$M$7</c:f>
              <c:numCache>
                <c:formatCode>General</c:formatCode>
                <c:ptCount val="2"/>
                <c:pt idx="0">
                  <c:v>1</c:v>
                </c:pt>
                <c:pt idx="1">
                  <c:v>2</c:v>
                </c:pt>
              </c:numCache>
            </c:numRef>
          </c:val>
          <c:extLst>
            <c:ext xmlns:c16="http://schemas.microsoft.com/office/drawing/2014/chart" uri="{C3380CC4-5D6E-409C-BE32-E72D297353CC}">
              <c16:uniqueId val="{00000004-E999-4A4F-BBAA-FCB83E81DDF8}"/>
            </c:ext>
          </c:extLst>
        </c:ser>
        <c:ser>
          <c:idx val="2"/>
          <c:order val="2"/>
          <c:tx>
            <c:strRef>
              <c:f>Sheet1!$N$3:$N$4</c:f>
              <c:strCache>
                <c:ptCount val="1"/>
                <c:pt idx="0">
                  <c:v>Spain</c:v>
                </c:pt>
              </c:strCache>
            </c:strRef>
          </c:tx>
          <c:spPr>
            <a:solidFill>
              <a:schemeClr val="accent3"/>
            </a:solidFill>
            <a:ln>
              <a:noFill/>
            </a:ln>
            <a:effectLst/>
          </c:spPr>
          <c:invertIfNegative val="0"/>
          <c:cat>
            <c:strRef>
              <c:f>Sheet1!$K$5:$K$7</c:f>
              <c:strCache>
                <c:ptCount val="2"/>
                <c:pt idx="0">
                  <c:v>Female</c:v>
                </c:pt>
                <c:pt idx="1">
                  <c:v>Male</c:v>
                </c:pt>
              </c:strCache>
            </c:strRef>
          </c:cat>
          <c:val>
            <c:numRef>
              <c:f>Sheet1!$N$5:$N$7</c:f>
              <c:numCache>
                <c:formatCode>General</c:formatCode>
                <c:ptCount val="2"/>
                <c:pt idx="0">
                  <c:v>6</c:v>
                </c:pt>
                <c:pt idx="1">
                  <c:v>3</c:v>
                </c:pt>
              </c:numCache>
            </c:numRef>
          </c:val>
          <c:extLst>
            <c:ext xmlns:c16="http://schemas.microsoft.com/office/drawing/2014/chart" uri="{C3380CC4-5D6E-409C-BE32-E72D297353CC}">
              <c16:uniqueId val="{00000005-E999-4A4F-BBAA-FCB83E81DDF8}"/>
            </c:ext>
          </c:extLst>
        </c:ser>
        <c:dLbls>
          <c:showLegendKey val="0"/>
          <c:showVal val="0"/>
          <c:showCatName val="0"/>
          <c:showSerName val="0"/>
          <c:showPercent val="0"/>
          <c:showBubbleSize val="0"/>
        </c:dLbls>
        <c:gapWidth val="219"/>
        <c:overlap val="-27"/>
        <c:axId val="1612371680"/>
        <c:axId val="1612371200"/>
      </c:barChart>
      <c:catAx>
        <c:axId val="161237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371200"/>
        <c:crosses val="autoZero"/>
        <c:auto val="1"/>
        <c:lblAlgn val="ctr"/>
        <c:lblOffset val="100"/>
        <c:noMultiLvlLbl val="0"/>
      </c:catAx>
      <c:valAx>
        <c:axId val="161237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37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charts.xlsx]Sheet1!PivotTable12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Sheet1!$R$3:$R$4</c:f>
              <c:strCache>
                <c:ptCount val="1"/>
                <c:pt idx="0">
                  <c:v>Female</c:v>
                </c:pt>
              </c:strCache>
            </c:strRef>
          </c:tx>
          <c:spPr>
            <a:solidFill>
              <a:schemeClr val="accent1"/>
            </a:solidFill>
            <a:ln>
              <a:noFill/>
            </a:ln>
            <a:effectLst/>
          </c:spPr>
          <c:invertIfNegative val="0"/>
          <c:cat>
            <c:strRef>
              <c:f>Sheet1!$Q$5:$Q$9</c:f>
              <c:strCache>
                <c:ptCount val="4"/>
                <c:pt idx="0">
                  <c:v>1</c:v>
                </c:pt>
                <c:pt idx="1">
                  <c:v>2</c:v>
                </c:pt>
                <c:pt idx="2">
                  <c:v>3</c:v>
                </c:pt>
                <c:pt idx="3">
                  <c:v>4</c:v>
                </c:pt>
              </c:strCache>
            </c:strRef>
          </c:cat>
          <c:val>
            <c:numRef>
              <c:f>Sheet1!$R$5:$R$9</c:f>
              <c:numCache>
                <c:formatCode>General</c:formatCode>
                <c:ptCount val="4"/>
                <c:pt idx="0">
                  <c:v>209318.68</c:v>
                </c:pt>
                <c:pt idx="1">
                  <c:v>0</c:v>
                </c:pt>
                <c:pt idx="2">
                  <c:v>159660.79999999999</c:v>
                </c:pt>
                <c:pt idx="3">
                  <c:v>115046.74</c:v>
                </c:pt>
              </c:numCache>
            </c:numRef>
          </c:val>
          <c:extLst>
            <c:ext xmlns:c16="http://schemas.microsoft.com/office/drawing/2014/chart" uri="{C3380CC4-5D6E-409C-BE32-E72D297353CC}">
              <c16:uniqueId val="{00000000-8A37-4782-AEDD-275F5373480E}"/>
            </c:ext>
          </c:extLst>
        </c:ser>
        <c:ser>
          <c:idx val="1"/>
          <c:order val="1"/>
          <c:tx>
            <c:strRef>
              <c:f>Sheet1!$S$3:$S$4</c:f>
              <c:strCache>
                <c:ptCount val="1"/>
                <c:pt idx="0">
                  <c:v>Male</c:v>
                </c:pt>
              </c:strCache>
            </c:strRef>
          </c:tx>
          <c:spPr>
            <a:solidFill>
              <a:schemeClr val="accent2"/>
            </a:solidFill>
            <a:ln>
              <a:noFill/>
            </a:ln>
            <a:effectLst/>
          </c:spPr>
          <c:invertIfNegative val="0"/>
          <c:cat>
            <c:strRef>
              <c:f>Sheet1!$Q$5:$Q$9</c:f>
              <c:strCache>
                <c:ptCount val="4"/>
                <c:pt idx="0">
                  <c:v>1</c:v>
                </c:pt>
                <c:pt idx="1">
                  <c:v>2</c:v>
                </c:pt>
                <c:pt idx="2">
                  <c:v>3</c:v>
                </c:pt>
                <c:pt idx="3">
                  <c:v>4</c:v>
                </c:pt>
              </c:strCache>
            </c:strRef>
          </c:cat>
          <c:val>
            <c:numRef>
              <c:f>Sheet1!$S$5:$S$9</c:f>
              <c:numCache>
                <c:formatCode>General</c:formatCode>
                <c:ptCount val="4"/>
                <c:pt idx="0">
                  <c:v>267206.76</c:v>
                </c:pt>
                <c:pt idx="1">
                  <c:v>500952.98</c:v>
                </c:pt>
              </c:numCache>
            </c:numRef>
          </c:val>
          <c:extLst>
            <c:ext xmlns:c16="http://schemas.microsoft.com/office/drawing/2014/chart" uri="{C3380CC4-5D6E-409C-BE32-E72D297353CC}">
              <c16:uniqueId val="{00000003-8A37-4782-AEDD-275F5373480E}"/>
            </c:ext>
          </c:extLst>
        </c:ser>
        <c:dLbls>
          <c:showLegendKey val="0"/>
          <c:showVal val="0"/>
          <c:showCatName val="0"/>
          <c:showSerName val="0"/>
          <c:showPercent val="0"/>
          <c:showBubbleSize val="0"/>
        </c:dLbls>
        <c:gapWidth val="219"/>
        <c:overlap val="-27"/>
        <c:axId val="1677969504"/>
        <c:axId val="1677969984"/>
      </c:barChart>
      <c:catAx>
        <c:axId val="16779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69984"/>
        <c:crosses val="autoZero"/>
        <c:auto val="1"/>
        <c:lblAlgn val="ctr"/>
        <c:lblOffset val="100"/>
        <c:noMultiLvlLbl val="0"/>
      </c:catAx>
      <c:valAx>
        <c:axId val="167796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96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charts.xlsx]Sheet1!PivotTable13</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Sheet1!$W$3:$W$4</c:f>
              <c:strCache>
                <c:ptCount val="1"/>
                <c:pt idx="0">
                  <c:v>0</c:v>
                </c:pt>
              </c:strCache>
            </c:strRef>
          </c:tx>
          <c:spPr>
            <a:ln w="28575" cap="rnd">
              <a:solidFill>
                <a:schemeClr val="accent1"/>
              </a:solidFill>
              <a:round/>
            </a:ln>
            <a:effectLst/>
          </c:spPr>
          <c:marker>
            <c:symbol val="none"/>
          </c:marker>
          <c:cat>
            <c:strRef>
              <c:f>Sheet1!$V$5:$V$7</c:f>
              <c:strCache>
                <c:ptCount val="2"/>
                <c:pt idx="0">
                  <c:v>Female</c:v>
                </c:pt>
                <c:pt idx="1">
                  <c:v>Male</c:v>
                </c:pt>
              </c:strCache>
            </c:strRef>
          </c:cat>
          <c:val>
            <c:numRef>
              <c:f>Sheet1!$W$5:$W$7</c:f>
              <c:numCache>
                <c:formatCode>General</c:formatCode>
                <c:ptCount val="2"/>
                <c:pt idx="0">
                  <c:v>1856</c:v>
                </c:pt>
                <c:pt idx="1">
                  <c:v>2232</c:v>
                </c:pt>
              </c:numCache>
            </c:numRef>
          </c:val>
          <c:smooth val="0"/>
          <c:extLst>
            <c:ext xmlns:c16="http://schemas.microsoft.com/office/drawing/2014/chart" uri="{C3380CC4-5D6E-409C-BE32-E72D297353CC}">
              <c16:uniqueId val="{00000000-A8F0-4AAC-8ECC-D831ACA496D0}"/>
            </c:ext>
          </c:extLst>
        </c:ser>
        <c:ser>
          <c:idx val="1"/>
          <c:order val="1"/>
          <c:tx>
            <c:strRef>
              <c:f>Sheet1!$X$3:$X$4</c:f>
              <c:strCache>
                <c:ptCount val="1"/>
                <c:pt idx="0">
                  <c:v>1</c:v>
                </c:pt>
              </c:strCache>
            </c:strRef>
          </c:tx>
          <c:spPr>
            <a:ln w="28575" cap="rnd">
              <a:solidFill>
                <a:schemeClr val="accent2"/>
              </a:solidFill>
              <a:round/>
            </a:ln>
            <a:effectLst/>
          </c:spPr>
          <c:marker>
            <c:symbol val="none"/>
          </c:marker>
          <c:cat>
            <c:strRef>
              <c:f>Sheet1!$V$5:$V$7</c:f>
              <c:strCache>
                <c:ptCount val="2"/>
                <c:pt idx="0">
                  <c:v>Female</c:v>
                </c:pt>
                <c:pt idx="1">
                  <c:v>Male</c:v>
                </c:pt>
              </c:strCache>
            </c:strRef>
          </c:cat>
          <c:val>
            <c:numRef>
              <c:f>Sheet1!$X$5:$X$7</c:f>
              <c:numCache>
                <c:formatCode>General</c:formatCode>
                <c:ptCount val="2"/>
                <c:pt idx="0">
                  <c:v>5879</c:v>
                </c:pt>
                <c:pt idx="1">
                  <c:v>4033</c:v>
                </c:pt>
              </c:numCache>
            </c:numRef>
          </c:val>
          <c:smooth val="0"/>
          <c:extLst>
            <c:ext xmlns:c16="http://schemas.microsoft.com/office/drawing/2014/chart" uri="{C3380CC4-5D6E-409C-BE32-E72D297353CC}">
              <c16:uniqueId val="{00000003-A8F0-4AAC-8ECC-D831ACA496D0}"/>
            </c:ext>
          </c:extLst>
        </c:ser>
        <c:dLbls>
          <c:showLegendKey val="0"/>
          <c:showVal val="0"/>
          <c:showCatName val="0"/>
          <c:showSerName val="0"/>
          <c:showPercent val="0"/>
          <c:showBubbleSize val="0"/>
        </c:dLbls>
        <c:smooth val="0"/>
        <c:axId val="1830616000"/>
        <c:axId val="1830623200"/>
      </c:lineChart>
      <c:catAx>
        <c:axId val="183061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623200"/>
        <c:crosses val="autoZero"/>
        <c:auto val="1"/>
        <c:lblAlgn val="ctr"/>
        <c:lblOffset val="100"/>
        <c:noMultiLvlLbl val="0"/>
      </c:catAx>
      <c:valAx>
        <c:axId val="183062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61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charts.xlsx]Sheet1!PivotTable14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Sheet1!$K$33</c:f>
              <c:strCache>
                <c:ptCount val="1"/>
                <c:pt idx="0">
                  <c:v>Total</c:v>
                </c:pt>
              </c:strCache>
            </c:strRef>
          </c:tx>
          <c:spPr>
            <a:solidFill>
              <a:schemeClr val="accent1"/>
            </a:solidFill>
            <a:ln>
              <a:noFill/>
            </a:ln>
            <a:effectLst/>
          </c:spPr>
          <c:invertIfNegative val="0"/>
          <c:cat>
            <c:strRef>
              <c:f>Sheet1!$J$34:$J$37</c:f>
              <c:strCache>
                <c:ptCount val="3"/>
                <c:pt idx="0">
                  <c:v>18-37</c:v>
                </c:pt>
                <c:pt idx="1">
                  <c:v>38-57</c:v>
                </c:pt>
                <c:pt idx="2">
                  <c:v>58-77</c:v>
                </c:pt>
              </c:strCache>
            </c:strRef>
          </c:cat>
          <c:val>
            <c:numRef>
              <c:f>Sheet1!$K$34:$K$37</c:f>
              <c:numCache>
                <c:formatCode>General</c:formatCode>
                <c:ptCount val="3"/>
                <c:pt idx="0">
                  <c:v>35</c:v>
                </c:pt>
                <c:pt idx="1">
                  <c:v>50</c:v>
                </c:pt>
                <c:pt idx="2">
                  <c:v>58</c:v>
                </c:pt>
              </c:numCache>
            </c:numRef>
          </c:val>
          <c:extLst>
            <c:ext xmlns:c16="http://schemas.microsoft.com/office/drawing/2014/chart" uri="{C3380CC4-5D6E-409C-BE32-E72D297353CC}">
              <c16:uniqueId val="{00000000-7F28-489B-9CF3-085EFBF8176D}"/>
            </c:ext>
          </c:extLst>
        </c:ser>
        <c:dLbls>
          <c:showLegendKey val="0"/>
          <c:showVal val="0"/>
          <c:showCatName val="0"/>
          <c:showSerName val="0"/>
          <c:showPercent val="0"/>
          <c:showBubbleSize val="0"/>
        </c:dLbls>
        <c:gapWidth val="219"/>
        <c:overlap val="-27"/>
        <c:axId val="1672329296"/>
        <c:axId val="1672321616"/>
      </c:barChart>
      <c:catAx>
        <c:axId val="167232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21616"/>
        <c:crosses val="autoZero"/>
        <c:auto val="1"/>
        <c:lblAlgn val="ctr"/>
        <c:lblOffset val="100"/>
        <c:noMultiLvlLbl val="0"/>
      </c:catAx>
      <c:valAx>
        <c:axId val="167232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3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57150</xdr:colOff>
      <xdr:row>8</xdr:row>
      <xdr:rowOff>42862</xdr:rowOff>
    </xdr:from>
    <xdr:to>
      <xdr:col>4</xdr:col>
      <xdr:colOff>571500</xdr:colOff>
      <xdr:row>20</xdr:row>
      <xdr:rowOff>114300</xdr:rowOff>
    </xdr:to>
    <xdr:graphicFrame macro="">
      <xdr:nvGraphicFramePr>
        <xdr:cNvPr id="2" name="Chart 1">
          <a:extLst>
            <a:ext uri="{FF2B5EF4-FFF2-40B4-BE49-F238E27FC236}">
              <a16:creationId xmlns:a16="http://schemas.microsoft.com/office/drawing/2014/main" id="{612D464D-5358-0F5C-008F-00FC08955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323850</xdr:colOff>
      <xdr:row>11</xdr:row>
      <xdr:rowOff>52387</xdr:rowOff>
    </xdr:from>
    <xdr:to>
      <xdr:col>14</xdr:col>
      <xdr:colOff>19050</xdr:colOff>
      <xdr:row>25</xdr:row>
      <xdr:rowOff>128587</xdr:rowOff>
    </xdr:to>
    <xdr:graphicFrame macro="">
      <xdr:nvGraphicFramePr>
        <xdr:cNvPr id="2" name="Chart 1">
          <a:extLst>
            <a:ext uri="{FF2B5EF4-FFF2-40B4-BE49-F238E27FC236}">
              <a16:creationId xmlns:a16="http://schemas.microsoft.com/office/drawing/2014/main" id="{69932E76-D1DE-CD50-C217-ED3FEA79C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171450</xdr:colOff>
      <xdr:row>2</xdr:row>
      <xdr:rowOff>38100</xdr:rowOff>
    </xdr:from>
    <xdr:to>
      <xdr:col>6</xdr:col>
      <xdr:colOff>171450</xdr:colOff>
      <xdr:row>15</xdr:row>
      <xdr:rowOff>85725</xdr:rowOff>
    </xdr:to>
    <mc:AlternateContent xmlns:mc="http://schemas.openxmlformats.org/markup-compatibility/2006">
      <mc:Choice xmlns:a14="http://schemas.microsoft.com/office/drawing/2010/main" Requires="a14">
        <xdr:graphicFrame macro="">
          <xdr:nvGraphicFramePr>
            <xdr:cNvPr id="2" name="Balance">
              <a:extLst>
                <a:ext uri="{FF2B5EF4-FFF2-40B4-BE49-F238E27FC236}">
                  <a16:creationId xmlns:a16="http://schemas.microsoft.com/office/drawing/2014/main" id="{F14944DC-C316-E5F0-8282-3F3D0228E868}"/>
                </a:ext>
              </a:extLst>
            </xdr:cNvPr>
            <xdr:cNvGraphicFramePr/>
          </xdr:nvGraphicFramePr>
          <xdr:xfrm>
            <a:off x="0" y="0"/>
            <a:ext cx="0" cy="0"/>
          </xdr:xfrm>
          <a:graphic>
            <a:graphicData uri="http://schemas.microsoft.com/office/drawing/2010/slicer">
              <sle:slicer xmlns:sle="http://schemas.microsoft.com/office/drawing/2010/slicer" name="Balance"/>
            </a:graphicData>
          </a:graphic>
        </xdr:graphicFrame>
      </mc:Choice>
      <mc:Fallback>
        <xdr:sp macro="" textlink="">
          <xdr:nvSpPr>
            <xdr:cNvPr id="0" name=""/>
            <xdr:cNvSpPr>
              <a:spLocks noTextEdit="1"/>
            </xdr:cNvSpPr>
          </xdr:nvSpPr>
          <xdr:spPr>
            <a:xfrm>
              <a:off x="2628900" y="419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571500</xdr:colOff>
      <xdr:row>1</xdr:row>
      <xdr:rowOff>123825</xdr:rowOff>
    </xdr:from>
    <xdr:to>
      <xdr:col>5</xdr:col>
      <xdr:colOff>571500</xdr:colOff>
      <xdr:row>14</xdr:row>
      <xdr:rowOff>171450</xdr:rowOff>
    </xdr:to>
    <mc:AlternateContent xmlns:mc="http://schemas.openxmlformats.org/markup-compatibility/2006">
      <mc:Choice xmlns:a14="http://schemas.microsoft.com/office/drawing/2010/main" Requires="a14">
        <xdr:graphicFrame macro="">
          <xdr:nvGraphicFramePr>
            <xdr:cNvPr id="2" name="NumOfProducts">
              <a:extLst>
                <a:ext uri="{FF2B5EF4-FFF2-40B4-BE49-F238E27FC236}">
                  <a16:creationId xmlns:a16="http://schemas.microsoft.com/office/drawing/2014/main" id="{937DB48C-F6E2-DE29-364F-669AC688C1D9}"/>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dr:sp macro="" textlink="">
          <xdr:nvSpPr>
            <xdr:cNvPr id="0" name=""/>
            <xdr:cNvSpPr>
              <a:spLocks noTextEdit="1"/>
            </xdr:cNvSpPr>
          </xdr:nvSpPr>
          <xdr:spPr>
            <a:xfrm>
              <a:off x="2924175" y="314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104775</xdr:colOff>
      <xdr:row>32</xdr:row>
      <xdr:rowOff>19050</xdr:rowOff>
    </xdr:from>
    <xdr:to>
      <xdr:col>13</xdr:col>
      <xdr:colOff>238125</xdr:colOff>
      <xdr:row>45</xdr:row>
      <xdr:rowOff>66675</xdr:rowOff>
    </xdr:to>
    <mc:AlternateContent xmlns:mc="http://schemas.openxmlformats.org/markup-compatibility/2006">
      <mc:Choice xmlns:a14="http://schemas.microsoft.com/office/drawing/2010/main" Requires="a14">
        <xdr:graphicFrame macro="">
          <xdr:nvGraphicFramePr>
            <xdr:cNvPr id="8" name="Age">
              <a:extLst>
                <a:ext uri="{FF2B5EF4-FFF2-40B4-BE49-F238E27FC236}">
                  <a16:creationId xmlns:a16="http://schemas.microsoft.com/office/drawing/2014/main" id="{D0BB8616-FC89-9668-99C8-49D71C6A370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8039100" y="6115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285750</xdr:colOff>
      <xdr:row>34</xdr:row>
      <xdr:rowOff>142875</xdr:rowOff>
    </xdr:from>
    <xdr:to>
      <xdr:col>19</xdr:col>
      <xdr:colOff>361950</xdr:colOff>
      <xdr:row>48</xdr:row>
      <xdr:rowOff>0</xdr:rowOff>
    </xdr:to>
    <mc:AlternateContent xmlns:mc="http://schemas.openxmlformats.org/markup-compatibility/2006">
      <mc:Choice xmlns:a14="http://schemas.microsoft.com/office/drawing/2010/main" Requires="a14">
        <xdr:graphicFrame macro="">
          <xdr:nvGraphicFramePr>
            <xdr:cNvPr id="9" name="Balance 1">
              <a:extLst>
                <a:ext uri="{FF2B5EF4-FFF2-40B4-BE49-F238E27FC236}">
                  <a16:creationId xmlns:a16="http://schemas.microsoft.com/office/drawing/2014/main" id="{B616C530-D3DA-4AE5-B4AB-EBFC9B1EBEC9}"/>
                </a:ext>
              </a:extLst>
            </xdr:cNvPr>
            <xdr:cNvGraphicFramePr/>
          </xdr:nvGraphicFramePr>
          <xdr:xfrm>
            <a:off x="0" y="0"/>
            <a:ext cx="0" cy="0"/>
          </xdr:xfrm>
          <a:graphic>
            <a:graphicData uri="http://schemas.microsoft.com/office/drawing/2010/slicer">
              <sle:slicer xmlns:sle="http://schemas.microsoft.com/office/drawing/2010/slicer" name="Balance 1"/>
            </a:graphicData>
          </a:graphic>
        </xdr:graphicFrame>
      </mc:Choice>
      <mc:Fallback>
        <xdr:sp macro="" textlink="">
          <xdr:nvSpPr>
            <xdr:cNvPr id="0" name=""/>
            <xdr:cNvSpPr>
              <a:spLocks noTextEdit="1"/>
            </xdr:cNvSpPr>
          </xdr:nvSpPr>
          <xdr:spPr>
            <a:xfrm>
              <a:off x="13001625" y="6619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0</xdr:colOff>
      <xdr:row>2</xdr:row>
      <xdr:rowOff>0</xdr:rowOff>
    </xdr:from>
    <xdr:to>
      <xdr:col>35</xdr:col>
      <xdr:colOff>952500</xdr:colOff>
      <xdr:row>15</xdr:row>
      <xdr:rowOff>47625</xdr:rowOff>
    </xdr:to>
    <mc:AlternateContent xmlns:mc="http://schemas.openxmlformats.org/markup-compatibility/2006">
      <mc:Choice xmlns:a14="http://schemas.microsoft.com/office/drawing/2010/main" Requires="a14">
        <xdr:graphicFrame macro="">
          <xdr:nvGraphicFramePr>
            <xdr:cNvPr id="11" name="NumOfProducts 1">
              <a:extLst>
                <a:ext uri="{FF2B5EF4-FFF2-40B4-BE49-F238E27FC236}">
                  <a16:creationId xmlns:a16="http://schemas.microsoft.com/office/drawing/2014/main" id="{408CA55A-827B-4ADF-A841-DCB8A8600F47}"/>
                </a:ext>
              </a:extLst>
            </xdr:cNvPr>
            <xdr:cNvGraphicFramePr/>
          </xdr:nvGraphicFramePr>
          <xdr:xfrm>
            <a:off x="0" y="0"/>
            <a:ext cx="0" cy="0"/>
          </xdr:xfrm>
          <a:graphic>
            <a:graphicData uri="http://schemas.microsoft.com/office/drawing/2010/slicer">
              <sle:slicer xmlns:sle="http://schemas.microsoft.com/office/drawing/2010/slicer" name="NumOfProducts 1"/>
            </a:graphicData>
          </a:graphic>
        </xdr:graphicFrame>
      </mc:Choice>
      <mc:Fallback>
        <xdr:sp macro="" textlink="">
          <xdr:nvSpPr>
            <xdr:cNvPr id="0" name=""/>
            <xdr:cNvSpPr>
              <a:spLocks noTextEdit="1"/>
            </xdr:cNvSpPr>
          </xdr:nvSpPr>
          <xdr:spPr>
            <a:xfrm>
              <a:off x="28546425" y="38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238125</xdr:colOff>
      <xdr:row>32</xdr:row>
      <xdr:rowOff>19050</xdr:rowOff>
    </xdr:from>
    <xdr:to>
      <xdr:col>23</xdr:col>
      <xdr:colOff>981075</xdr:colOff>
      <xdr:row>45</xdr:row>
      <xdr:rowOff>66675</xdr:rowOff>
    </xdr:to>
    <mc:AlternateContent xmlns:mc="http://schemas.openxmlformats.org/markup-compatibility/2006">
      <mc:Choice xmlns:a14="http://schemas.microsoft.com/office/drawing/2010/main" Requires="a14">
        <xdr:graphicFrame macro="">
          <xdr:nvGraphicFramePr>
            <xdr:cNvPr id="12" name="EstimatedSalary">
              <a:extLst>
                <a:ext uri="{FF2B5EF4-FFF2-40B4-BE49-F238E27FC236}">
                  <a16:creationId xmlns:a16="http://schemas.microsoft.com/office/drawing/2014/main" id="{9853F2B7-3968-2F9B-905E-C32C7CC80EAD}"/>
                </a:ext>
              </a:extLst>
            </xdr:cNvPr>
            <xdr:cNvGraphicFramePr/>
          </xdr:nvGraphicFramePr>
          <xdr:xfrm>
            <a:off x="0" y="0"/>
            <a:ext cx="0" cy="0"/>
          </xdr:xfrm>
          <a:graphic>
            <a:graphicData uri="http://schemas.microsoft.com/office/drawing/2010/slicer">
              <sle:slicer xmlns:sle="http://schemas.microsoft.com/office/drawing/2010/slicer" name="EstimatedSalary"/>
            </a:graphicData>
          </a:graphic>
        </xdr:graphicFrame>
      </mc:Choice>
      <mc:Fallback>
        <xdr:sp macro="" textlink="">
          <xdr:nvSpPr>
            <xdr:cNvPr id="0" name=""/>
            <xdr:cNvSpPr>
              <a:spLocks noTextEdit="1"/>
            </xdr:cNvSpPr>
          </xdr:nvSpPr>
          <xdr:spPr>
            <a:xfrm>
              <a:off x="18049875" y="6115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390525</xdr:colOff>
      <xdr:row>39</xdr:row>
      <xdr:rowOff>61912</xdr:rowOff>
    </xdr:from>
    <xdr:to>
      <xdr:col>17</xdr:col>
      <xdr:colOff>219075</xdr:colOff>
      <xdr:row>48</xdr:row>
      <xdr:rowOff>57150</xdr:rowOff>
    </xdr:to>
    <xdr:graphicFrame macro="">
      <xdr:nvGraphicFramePr>
        <xdr:cNvPr id="13" name="Chart 12">
          <a:extLst>
            <a:ext uri="{FF2B5EF4-FFF2-40B4-BE49-F238E27FC236}">
              <a16:creationId xmlns:a16="http://schemas.microsoft.com/office/drawing/2014/main" id="{10377214-0637-326C-970A-ACDFDBFBB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76200</xdr:colOff>
      <xdr:row>45</xdr:row>
      <xdr:rowOff>123825</xdr:rowOff>
    </xdr:from>
    <xdr:to>
      <xdr:col>24</xdr:col>
      <xdr:colOff>142875</xdr:colOff>
      <xdr:row>56</xdr:row>
      <xdr:rowOff>128587</xdr:rowOff>
    </xdr:to>
    <xdr:graphicFrame macro="">
      <xdr:nvGraphicFramePr>
        <xdr:cNvPr id="14" name="Chart 13">
          <a:extLst>
            <a:ext uri="{FF2B5EF4-FFF2-40B4-BE49-F238E27FC236}">
              <a16:creationId xmlns:a16="http://schemas.microsoft.com/office/drawing/2014/main" id="{37141E08-9F02-412E-5522-40E38FB1E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209550</xdr:colOff>
      <xdr:row>8</xdr:row>
      <xdr:rowOff>123826</xdr:rowOff>
    </xdr:from>
    <xdr:to>
      <xdr:col>12</xdr:col>
      <xdr:colOff>219075</xdr:colOff>
      <xdr:row>14</xdr:row>
      <xdr:rowOff>161926</xdr:rowOff>
    </xdr:to>
    <mc:AlternateContent xmlns:mc="http://schemas.openxmlformats.org/markup-compatibility/2006">
      <mc:Choice xmlns:a14="http://schemas.microsoft.com/office/drawing/2010/main" Requires="a14">
        <xdr:graphicFrame macro="">
          <xdr:nvGraphicFramePr>
            <xdr:cNvPr id="15" name="Geography">
              <a:extLst>
                <a:ext uri="{FF2B5EF4-FFF2-40B4-BE49-F238E27FC236}">
                  <a16:creationId xmlns:a16="http://schemas.microsoft.com/office/drawing/2014/main" id="{E87CBC0B-0A65-EC17-442F-47BCC80CA38C}"/>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7410450" y="1647826"/>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15</xdr:row>
      <xdr:rowOff>85725</xdr:rowOff>
    </xdr:from>
    <xdr:to>
      <xdr:col>12</xdr:col>
      <xdr:colOff>47625</xdr:colOff>
      <xdr:row>20</xdr:row>
      <xdr:rowOff>76200</xdr:rowOff>
    </xdr:to>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C09C9848-80C8-9215-E644-A30F64679B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239000" y="2943225"/>
              <a:ext cx="18288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257174</xdr:colOff>
      <xdr:row>9</xdr:row>
      <xdr:rowOff>19050</xdr:rowOff>
    </xdr:from>
    <xdr:to>
      <xdr:col>15</xdr:col>
      <xdr:colOff>676274</xdr:colOff>
      <xdr:row>17</xdr:row>
      <xdr:rowOff>138112</xdr:rowOff>
    </xdr:to>
    <xdr:graphicFrame macro="">
      <xdr:nvGraphicFramePr>
        <xdr:cNvPr id="17" name="Chart 16">
          <a:extLst>
            <a:ext uri="{FF2B5EF4-FFF2-40B4-BE49-F238E27FC236}">
              <a16:creationId xmlns:a16="http://schemas.microsoft.com/office/drawing/2014/main" id="{043009CB-92FC-062C-3B6B-1779D6F4F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942975</xdr:colOff>
      <xdr:row>9</xdr:row>
      <xdr:rowOff>76201</xdr:rowOff>
    </xdr:from>
    <xdr:to>
      <xdr:col>19</xdr:col>
      <xdr:colOff>47625</xdr:colOff>
      <xdr:row>14</xdr:row>
      <xdr:rowOff>76201</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6BD02112-C57A-FC28-9CBE-C1A0EACDB0D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687300" y="179070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190500</xdr:colOff>
      <xdr:row>14</xdr:row>
      <xdr:rowOff>176212</xdr:rowOff>
    </xdr:from>
    <xdr:to>
      <xdr:col>19</xdr:col>
      <xdr:colOff>476250</xdr:colOff>
      <xdr:row>23</xdr:row>
      <xdr:rowOff>47625</xdr:rowOff>
    </xdr:to>
    <xdr:graphicFrame macro="">
      <xdr:nvGraphicFramePr>
        <xdr:cNvPr id="19" name="Chart 18">
          <a:extLst>
            <a:ext uri="{FF2B5EF4-FFF2-40B4-BE49-F238E27FC236}">
              <a16:creationId xmlns:a16="http://schemas.microsoft.com/office/drawing/2014/main" id="{EB116BE8-D202-557F-53E7-418DAD9D0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495300</xdr:colOff>
      <xdr:row>12</xdr:row>
      <xdr:rowOff>47625</xdr:rowOff>
    </xdr:from>
    <xdr:to>
      <xdr:col>21</xdr:col>
      <xdr:colOff>1447800</xdr:colOff>
      <xdr:row>25</xdr:row>
      <xdr:rowOff>95250</xdr:rowOff>
    </xdr:to>
    <mc:AlternateContent xmlns:mc="http://schemas.openxmlformats.org/markup-compatibility/2006">
      <mc:Choice xmlns:a14="http://schemas.microsoft.com/office/drawing/2010/main" Requires="a14">
        <xdr:graphicFrame macro="">
          <xdr:nvGraphicFramePr>
            <xdr:cNvPr id="20" name="CreditScore">
              <a:extLst>
                <a:ext uri="{FF2B5EF4-FFF2-40B4-BE49-F238E27FC236}">
                  <a16:creationId xmlns:a16="http://schemas.microsoft.com/office/drawing/2014/main" id="{3A600874-1AC6-A855-346C-ABD0CB1D0936}"/>
                </a:ext>
              </a:extLst>
            </xdr:cNvPr>
            <xdr:cNvGraphicFramePr/>
          </xdr:nvGraphicFramePr>
          <xdr:xfrm>
            <a:off x="0" y="0"/>
            <a:ext cx="0" cy="0"/>
          </xdr:xfrm>
          <a:graphic>
            <a:graphicData uri="http://schemas.microsoft.com/office/drawing/2010/slicer">
              <sle:slicer xmlns:sle="http://schemas.microsoft.com/office/drawing/2010/slicer" name="CreditScore"/>
            </a:graphicData>
          </a:graphic>
        </xdr:graphicFrame>
      </mc:Choice>
      <mc:Fallback>
        <xdr:sp macro="" textlink="">
          <xdr:nvSpPr>
            <xdr:cNvPr id="0" name=""/>
            <xdr:cNvSpPr>
              <a:spLocks noTextEdit="1"/>
            </xdr:cNvSpPr>
          </xdr:nvSpPr>
          <xdr:spPr>
            <a:xfrm>
              <a:off x="15716250" y="2333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476250</xdr:colOff>
      <xdr:row>7</xdr:row>
      <xdr:rowOff>76200</xdr:rowOff>
    </xdr:from>
    <xdr:to>
      <xdr:col>21</xdr:col>
      <xdr:colOff>1428750</xdr:colOff>
      <xdr:row>12</xdr:row>
      <xdr:rowOff>66675</xdr:rowOff>
    </xdr:to>
    <mc:AlternateContent xmlns:mc="http://schemas.openxmlformats.org/markup-compatibility/2006">
      <mc:Choice xmlns:a14="http://schemas.microsoft.com/office/drawing/2010/main" Requires="a14">
        <xdr:graphicFrame macro="">
          <xdr:nvGraphicFramePr>
            <xdr:cNvPr id="21" name="Gender 2">
              <a:extLst>
                <a:ext uri="{FF2B5EF4-FFF2-40B4-BE49-F238E27FC236}">
                  <a16:creationId xmlns:a16="http://schemas.microsoft.com/office/drawing/2014/main" id="{3E4FDC18-0A59-E80A-F4FA-04E35BF1BF2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5697200" y="1409700"/>
              <a:ext cx="1828800"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190500</xdr:colOff>
      <xdr:row>8</xdr:row>
      <xdr:rowOff>147637</xdr:rowOff>
    </xdr:from>
    <xdr:to>
      <xdr:col>25</xdr:col>
      <xdr:colOff>476250</xdr:colOff>
      <xdr:row>18</xdr:row>
      <xdr:rowOff>114300</xdr:rowOff>
    </xdr:to>
    <xdr:graphicFrame macro="">
      <xdr:nvGraphicFramePr>
        <xdr:cNvPr id="22" name="Chart 21">
          <a:extLst>
            <a:ext uri="{FF2B5EF4-FFF2-40B4-BE49-F238E27FC236}">
              <a16:creationId xmlns:a16="http://schemas.microsoft.com/office/drawing/2014/main" id="{0CED1FCA-BFBB-606F-E07A-99ABB3571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600075</xdr:colOff>
      <xdr:row>37</xdr:row>
      <xdr:rowOff>147637</xdr:rowOff>
    </xdr:from>
    <xdr:to>
      <xdr:col>10</xdr:col>
      <xdr:colOff>962025</xdr:colOff>
      <xdr:row>46</xdr:row>
      <xdr:rowOff>152400</xdr:rowOff>
    </xdr:to>
    <xdr:graphicFrame macro="">
      <xdr:nvGraphicFramePr>
        <xdr:cNvPr id="23" name="Chart 22">
          <a:extLst>
            <a:ext uri="{FF2B5EF4-FFF2-40B4-BE49-F238E27FC236}">
              <a16:creationId xmlns:a16="http://schemas.microsoft.com/office/drawing/2014/main" id="{D44459A4-85E1-7610-20F6-6D60ED9C6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524966319441" createdVersion="8" refreshedVersion="8" minRefreshableVersion="3" recordCount="23" xr:uid="{9DBDC328-1FB0-4BE1-97CD-8B65EA4AD2A3}">
  <cacheSource type="worksheet">
    <worksheetSource ref="A1:J24" sheet="Sheet1"/>
  </cacheSource>
  <cacheFields count="10">
    <cacheField name="CreditScore" numFmtId="0">
      <sharedItems containsSemiMixedTypes="0" containsString="0" containsNumber="1" containsInteger="1" minValue="376" maxValue="850" count="22">
        <n v="619"/>
        <n v="608"/>
        <n v="502"/>
        <n v="699"/>
        <n v="850"/>
        <n v="645"/>
        <n v="822"/>
        <n v="376"/>
        <n v="501"/>
        <n v="684"/>
        <n v="528"/>
        <n v="497"/>
        <n v="476"/>
        <n v="549"/>
        <n v="635"/>
        <n v="616"/>
        <n v="653"/>
        <n v="587"/>
        <n v="726"/>
        <n v="732"/>
        <n v="636"/>
        <n v="510"/>
      </sharedItems>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24" maxValue="58" count="17">
        <n v="42"/>
        <n v="41"/>
        <n v="39"/>
        <n v="43"/>
        <n v="44"/>
        <n v="50"/>
        <n v="29"/>
        <n v="27"/>
        <n v="31"/>
        <n v="24"/>
        <n v="34"/>
        <n v="25"/>
        <n v="35"/>
        <n v="45"/>
        <n v="58"/>
        <n v="32"/>
        <n v="38"/>
      </sharedItems>
      <fieldGroup base="3">
        <rangePr autoStart="0" autoEnd="0" startNum="18" endNum="90" groupInterval="20"/>
        <groupItems count="6">
          <s v="&lt;18"/>
          <s v="18-37"/>
          <s v="38-57"/>
          <s v="58-77"/>
          <s v="78-97"/>
          <s v="&gt;98"/>
        </groupItems>
      </fieldGroup>
    </cacheField>
    <cacheField name="Tenure" numFmtId="0">
      <sharedItems containsSemiMixedTypes="0" containsString="0" containsNumber="1" containsInteger="1" minValue="1" maxValue="10" count="10">
        <n v="2"/>
        <n v="1"/>
        <n v="8"/>
        <n v="7"/>
        <n v="4"/>
        <n v="6"/>
        <n v="3"/>
        <n v="10"/>
        <n v="5"/>
        <n v="9"/>
      </sharedItems>
    </cacheField>
    <cacheField name="Balance" numFmtId="0">
      <sharedItems containsSemiMixedTypes="0" containsString="0" containsNumber="1" minValue="0" maxValue="159660.7999999999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5097.67" maxValue="190857.79" count="23">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138555.46"/>
        <n v="118913.53"/>
      </sharedItems>
    </cacheField>
  </cacheFields>
  <extLst>
    <ext xmlns:x14="http://schemas.microsoft.com/office/spreadsheetml/2009/9/main" uri="{725AE2AE-9491-48be-B2B4-4EB974FC3084}">
      <x14:pivotCacheDefinition pivotCacheId="8561010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611135416664" createdVersion="8" refreshedVersion="8" minRefreshableVersion="3" recordCount="23" xr:uid="{B08362A1-E93A-4241-A9E5-BE9D4AA81A77}">
  <cacheSource type="worksheet">
    <worksheetSource ref="C1:J24" sheet="Sheet1"/>
  </cacheSource>
  <cacheFields count="8">
    <cacheField name="Gender" numFmtId="0">
      <sharedItems/>
    </cacheField>
    <cacheField name="Age" numFmtId="0">
      <sharedItems containsSemiMixedTypes="0" containsString="0" containsNumber="1" containsInteger="1" minValue="24" maxValue="58"/>
    </cacheField>
    <cacheField name="Tenure" numFmtId="0">
      <sharedItems containsSemiMixedTypes="0" containsString="0" containsNumber="1" containsInteger="1" minValue="1" maxValue="10"/>
    </cacheField>
    <cacheField name="Balance" numFmtId="0">
      <sharedItems containsSemiMixedTypes="0" containsString="0" containsNumber="1" minValue="0" maxValue="159660.79999999999" count="11">
        <n v="0"/>
        <n v="83807.86"/>
        <n v="159660.79999999999"/>
        <n v="125510.82"/>
        <n v="113755.78"/>
        <n v="115046.74"/>
        <n v="142051.07"/>
        <n v="134603.88"/>
        <n v="102016.72"/>
        <n v="143129.41"/>
        <n v="132602.88"/>
      </sharedItems>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0857.79"/>
    </cacheField>
  </cacheFields>
  <extLst>
    <ext xmlns:x14="http://schemas.microsoft.com/office/spreadsheetml/2009/9/main" uri="{725AE2AE-9491-48be-B2B4-4EB974FC3084}">
      <x14:pivotCacheDefinition pivotCacheId="405600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x v="0"/>
    <x v="0"/>
    <x v="0"/>
    <x v="0"/>
    <n v="0"/>
    <x v="0"/>
    <x v="0"/>
    <x v="0"/>
    <x v="0"/>
  </r>
  <r>
    <x v="1"/>
    <x v="1"/>
    <x v="0"/>
    <x v="1"/>
    <x v="1"/>
    <n v="83807.86"/>
    <x v="0"/>
    <x v="1"/>
    <x v="0"/>
    <x v="1"/>
  </r>
  <r>
    <x v="2"/>
    <x v="0"/>
    <x v="0"/>
    <x v="0"/>
    <x v="2"/>
    <n v="159660.79999999999"/>
    <x v="1"/>
    <x v="0"/>
    <x v="1"/>
    <x v="2"/>
  </r>
  <r>
    <x v="3"/>
    <x v="0"/>
    <x v="0"/>
    <x v="2"/>
    <x v="1"/>
    <n v="0"/>
    <x v="2"/>
    <x v="1"/>
    <x v="1"/>
    <x v="3"/>
  </r>
  <r>
    <x v="4"/>
    <x v="1"/>
    <x v="0"/>
    <x v="3"/>
    <x v="0"/>
    <n v="125510.82"/>
    <x v="0"/>
    <x v="0"/>
    <x v="0"/>
    <x v="4"/>
  </r>
  <r>
    <x v="5"/>
    <x v="1"/>
    <x v="1"/>
    <x v="4"/>
    <x v="2"/>
    <n v="113755.78"/>
    <x v="2"/>
    <x v="0"/>
    <x v="1"/>
    <x v="5"/>
  </r>
  <r>
    <x v="6"/>
    <x v="0"/>
    <x v="1"/>
    <x v="5"/>
    <x v="3"/>
    <n v="0"/>
    <x v="2"/>
    <x v="0"/>
    <x v="0"/>
    <x v="6"/>
  </r>
  <r>
    <x v="7"/>
    <x v="2"/>
    <x v="0"/>
    <x v="6"/>
    <x v="4"/>
    <n v="115046.74"/>
    <x v="3"/>
    <x v="0"/>
    <x v="1"/>
    <x v="7"/>
  </r>
  <r>
    <x v="8"/>
    <x v="0"/>
    <x v="1"/>
    <x v="4"/>
    <x v="4"/>
    <n v="142051.07"/>
    <x v="2"/>
    <x v="1"/>
    <x v="0"/>
    <x v="8"/>
  </r>
  <r>
    <x v="9"/>
    <x v="0"/>
    <x v="1"/>
    <x v="7"/>
    <x v="0"/>
    <n v="134603.88"/>
    <x v="0"/>
    <x v="0"/>
    <x v="0"/>
    <x v="9"/>
  </r>
  <r>
    <x v="10"/>
    <x v="0"/>
    <x v="1"/>
    <x v="8"/>
    <x v="5"/>
    <n v="102016.72"/>
    <x v="2"/>
    <x v="1"/>
    <x v="1"/>
    <x v="10"/>
  </r>
  <r>
    <x v="11"/>
    <x v="1"/>
    <x v="1"/>
    <x v="9"/>
    <x v="6"/>
    <n v="0"/>
    <x v="2"/>
    <x v="0"/>
    <x v="1"/>
    <x v="11"/>
  </r>
  <r>
    <x v="12"/>
    <x v="0"/>
    <x v="0"/>
    <x v="10"/>
    <x v="7"/>
    <n v="0"/>
    <x v="2"/>
    <x v="0"/>
    <x v="1"/>
    <x v="12"/>
  </r>
  <r>
    <x v="13"/>
    <x v="0"/>
    <x v="0"/>
    <x v="11"/>
    <x v="8"/>
    <n v="0"/>
    <x v="2"/>
    <x v="1"/>
    <x v="1"/>
    <x v="13"/>
  </r>
  <r>
    <x v="14"/>
    <x v="1"/>
    <x v="0"/>
    <x v="12"/>
    <x v="3"/>
    <n v="0"/>
    <x v="2"/>
    <x v="0"/>
    <x v="0"/>
    <x v="14"/>
  </r>
  <r>
    <x v="15"/>
    <x v="2"/>
    <x v="1"/>
    <x v="13"/>
    <x v="6"/>
    <n v="143129.41"/>
    <x v="2"/>
    <x v="1"/>
    <x v="0"/>
    <x v="15"/>
  </r>
  <r>
    <x v="16"/>
    <x v="2"/>
    <x v="1"/>
    <x v="14"/>
    <x v="1"/>
    <n v="132602.88"/>
    <x v="0"/>
    <x v="0"/>
    <x v="1"/>
    <x v="16"/>
  </r>
  <r>
    <x v="13"/>
    <x v="1"/>
    <x v="0"/>
    <x v="9"/>
    <x v="9"/>
    <n v="0"/>
    <x v="2"/>
    <x v="0"/>
    <x v="0"/>
    <x v="17"/>
  </r>
  <r>
    <x v="17"/>
    <x v="1"/>
    <x v="1"/>
    <x v="13"/>
    <x v="5"/>
    <n v="0"/>
    <x v="0"/>
    <x v="1"/>
    <x v="1"/>
    <x v="18"/>
  </r>
  <r>
    <x v="18"/>
    <x v="0"/>
    <x v="0"/>
    <x v="9"/>
    <x v="5"/>
    <n v="0"/>
    <x v="2"/>
    <x v="0"/>
    <x v="0"/>
    <x v="19"/>
  </r>
  <r>
    <x v="19"/>
    <x v="0"/>
    <x v="1"/>
    <x v="1"/>
    <x v="2"/>
    <n v="0"/>
    <x v="2"/>
    <x v="0"/>
    <x v="0"/>
    <x v="20"/>
  </r>
  <r>
    <x v="20"/>
    <x v="1"/>
    <x v="0"/>
    <x v="15"/>
    <x v="2"/>
    <n v="0"/>
    <x v="2"/>
    <x v="0"/>
    <x v="1"/>
    <x v="21"/>
  </r>
  <r>
    <x v="21"/>
    <x v="1"/>
    <x v="0"/>
    <x v="16"/>
    <x v="4"/>
    <n v="0"/>
    <x v="0"/>
    <x v="0"/>
    <x v="1"/>
    <x v="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Female"/>
    <n v="42"/>
    <n v="2"/>
    <x v="0"/>
    <n v="1"/>
    <n v="1"/>
    <n v="1"/>
    <n v="101348.88"/>
  </r>
  <r>
    <s v="Female"/>
    <n v="41"/>
    <n v="1"/>
    <x v="1"/>
    <n v="1"/>
    <n v="0"/>
    <n v="1"/>
    <n v="112542.58"/>
  </r>
  <r>
    <s v="Female"/>
    <n v="42"/>
    <n v="8"/>
    <x v="2"/>
    <n v="3"/>
    <n v="1"/>
    <n v="0"/>
    <n v="113931.57"/>
  </r>
  <r>
    <s v="Female"/>
    <n v="39"/>
    <n v="1"/>
    <x v="0"/>
    <n v="2"/>
    <n v="0"/>
    <n v="0"/>
    <n v="93826.63"/>
  </r>
  <r>
    <s v="Female"/>
    <n v="43"/>
    <n v="2"/>
    <x v="3"/>
    <n v="1"/>
    <n v="1"/>
    <n v="1"/>
    <n v="79084.100000000006"/>
  </r>
  <r>
    <s v="Male"/>
    <n v="44"/>
    <n v="8"/>
    <x v="4"/>
    <n v="2"/>
    <n v="1"/>
    <n v="0"/>
    <n v="149756.71"/>
  </r>
  <r>
    <s v="Male"/>
    <n v="50"/>
    <n v="7"/>
    <x v="0"/>
    <n v="2"/>
    <n v="1"/>
    <n v="1"/>
    <n v="10062.799999999999"/>
  </r>
  <r>
    <s v="Female"/>
    <n v="29"/>
    <n v="4"/>
    <x v="5"/>
    <n v="4"/>
    <n v="1"/>
    <n v="0"/>
    <n v="119346.88"/>
  </r>
  <r>
    <s v="Male"/>
    <n v="44"/>
    <n v="4"/>
    <x v="6"/>
    <n v="2"/>
    <n v="0"/>
    <n v="1"/>
    <n v="74940.5"/>
  </r>
  <r>
    <s v="Male"/>
    <n v="27"/>
    <n v="2"/>
    <x v="7"/>
    <n v="1"/>
    <n v="1"/>
    <n v="1"/>
    <n v="71725.73"/>
  </r>
  <r>
    <s v="Male"/>
    <n v="31"/>
    <n v="6"/>
    <x v="8"/>
    <n v="2"/>
    <n v="0"/>
    <n v="0"/>
    <n v="80181.119999999995"/>
  </r>
  <r>
    <s v="Male"/>
    <n v="24"/>
    <n v="3"/>
    <x v="0"/>
    <n v="2"/>
    <n v="1"/>
    <n v="0"/>
    <n v="76390.009999999995"/>
  </r>
  <r>
    <s v="Female"/>
    <n v="34"/>
    <n v="10"/>
    <x v="0"/>
    <n v="2"/>
    <n v="1"/>
    <n v="0"/>
    <n v="26260.98"/>
  </r>
  <r>
    <s v="Female"/>
    <n v="25"/>
    <n v="5"/>
    <x v="0"/>
    <n v="2"/>
    <n v="0"/>
    <n v="0"/>
    <n v="190857.79"/>
  </r>
  <r>
    <s v="Female"/>
    <n v="35"/>
    <n v="7"/>
    <x v="0"/>
    <n v="2"/>
    <n v="1"/>
    <n v="1"/>
    <n v="65951.649999999994"/>
  </r>
  <r>
    <s v="Male"/>
    <n v="45"/>
    <n v="3"/>
    <x v="9"/>
    <n v="2"/>
    <n v="0"/>
    <n v="1"/>
    <n v="64327.26"/>
  </r>
  <r>
    <s v="Male"/>
    <n v="58"/>
    <n v="1"/>
    <x v="10"/>
    <n v="1"/>
    <n v="1"/>
    <n v="0"/>
    <n v="5097.67"/>
  </r>
  <r>
    <s v="Female"/>
    <n v="24"/>
    <n v="9"/>
    <x v="0"/>
    <n v="2"/>
    <n v="1"/>
    <n v="1"/>
    <n v="14406.41"/>
  </r>
  <r>
    <s v="Male"/>
    <n v="45"/>
    <n v="6"/>
    <x v="0"/>
    <n v="1"/>
    <n v="0"/>
    <n v="0"/>
    <n v="158684.81"/>
  </r>
  <r>
    <s v="Female"/>
    <n v="24"/>
    <n v="6"/>
    <x v="0"/>
    <n v="2"/>
    <n v="1"/>
    <n v="1"/>
    <n v="54724.03"/>
  </r>
  <r>
    <s v="Male"/>
    <n v="41"/>
    <n v="8"/>
    <x v="0"/>
    <n v="2"/>
    <n v="1"/>
    <n v="1"/>
    <n v="170886.17"/>
  </r>
  <r>
    <s v="Female"/>
    <n v="32"/>
    <n v="8"/>
    <x v="0"/>
    <n v="2"/>
    <n v="1"/>
    <n v="0"/>
    <n v="138555.46"/>
  </r>
  <r>
    <s v="Female"/>
    <n v="38"/>
    <n v="4"/>
    <x v="0"/>
    <n v="1"/>
    <n v="1"/>
    <n v="0"/>
    <n v="118913.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3FF80C-D967-43F0-9B24-09F472123B39}"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7" firstHeaderRow="1" firstDataRow="2" firstDataCol="1"/>
  <pivotFields count="10">
    <pivotField showAll="0"/>
    <pivotField axis="axisCol" showAll="0">
      <items count="4">
        <item x="0"/>
        <item x="2"/>
        <item x="1"/>
        <item t="default"/>
      </items>
    </pivotField>
    <pivotField axis="axisRow" dataField="1" showAll="0">
      <items count="3">
        <item x="0"/>
        <item x="1"/>
        <item t="default"/>
      </items>
    </pivotField>
    <pivotField showAll="0">
      <items count="7">
        <item x="0"/>
        <item x="1"/>
        <item x="2"/>
        <item x="3"/>
        <item x="4"/>
        <item x="5"/>
        <item t="default"/>
      </items>
    </pivotField>
    <pivotField showAll="0"/>
    <pivotField showAll="0"/>
    <pivotField showAll="0">
      <items count="5">
        <item x="0"/>
        <item x="2"/>
        <item x="1"/>
        <item x="3"/>
        <item t="default"/>
      </items>
    </pivotField>
    <pivotField showAll="0"/>
    <pivotField showAll="0"/>
    <pivotField showAll="0"/>
  </pivotFields>
  <rowFields count="1">
    <field x="2"/>
  </rowFields>
  <rowItems count="3">
    <i>
      <x/>
    </i>
    <i>
      <x v="1"/>
    </i>
    <i t="grand">
      <x/>
    </i>
  </rowItems>
  <colFields count="1">
    <field x="1"/>
  </colFields>
  <colItems count="4">
    <i>
      <x/>
    </i>
    <i>
      <x v="1"/>
    </i>
    <i>
      <x v="2"/>
    </i>
    <i t="grand">
      <x/>
    </i>
  </colItems>
  <dataFields count="1">
    <dataField name="Count of Gender" fld="2"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E2CE3F-0749-4A51-9C19-D6AC060BC37D}"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8" firstHeaderRow="1" firstDataRow="2" firstDataCol="1"/>
  <pivotFields count="10">
    <pivotField dataField="1" showAll="0"/>
    <pivotField showAll="0"/>
    <pivotField axis="axisCol" showAll="0">
      <items count="3">
        <item x="0"/>
        <item x="1"/>
        <item t="default"/>
      </items>
    </pivotField>
    <pivotField axis="axisRow" showAll="0">
      <items count="7">
        <item x="0"/>
        <item x="1"/>
        <item x="2"/>
        <item x="3"/>
        <item x="4"/>
        <item x="5"/>
        <item t="default"/>
      </items>
    </pivotField>
    <pivotField showAll="0"/>
    <pivotField showAll="0"/>
    <pivotField showAll="0"/>
    <pivotField showAll="0"/>
    <pivotField showAll="0"/>
    <pivotField showAll="0"/>
  </pivotFields>
  <rowFields count="1">
    <field x="3"/>
  </rowFields>
  <rowItems count="4">
    <i>
      <x v="1"/>
    </i>
    <i>
      <x v="2"/>
    </i>
    <i>
      <x v="3"/>
    </i>
    <i t="grand">
      <x/>
    </i>
  </rowItems>
  <colFields count="1">
    <field x="2"/>
  </colFields>
  <colItems count="3">
    <i>
      <x/>
    </i>
    <i>
      <x v="1"/>
    </i>
    <i t="grand">
      <x/>
    </i>
  </colItems>
  <dataFields count="1">
    <dataField name="Sum of CreditScore" fld="0"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38" series="1">
      <pivotArea type="data" outline="0" fieldPosition="0">
        <references count="2">
          <reference field="4294967294" count="1" selected="0">
            <x v="0"/>
          </reference>
          <reference field="2" count="1" selected="0">
            <x v="0"/>
          </reference>
        </references>
      </pivotArea>
    </chartFormat>
    <chartFormat chart="3" format="5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03B4A-7799-48ED-9068-EC7ACCA9B3CE}"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
    <pivotField showAll="0"/>
    <pivotField showAll="0"/>
    <pivotField showAll="0"/>
    <pivotField axis="axisRow" dataField="1" showAll="0">
      <items count="12">
        <item h="1" x="0"/>
        <item x="1"/>
        <item h="1" x="8"/>
        <item x="4"/>
        <item x="5"/>
        <item x="3"/>
        <item h="1" x="10"/>
        <item h="1" x="7"/>
        <item h="1" x="6"/>
        <item h="1" x="9"/>
        <item h="1" x="2"/>
        <item t="default"/>
      </items>
    </pivotField>
    <pivotField showAll="0"/>
    <pivotField showAll="0"/>
    <pivotField showAll="0"/>
    <pivotField showAll="0"/>
  </pivotFields>
  <rowFields count="1">
    <field x="3"/>
  </rowFields>
  <rowItems count="5">
    <i>
      <x v="1"/>
    </i>
    <i>
      <x v="3"/>
    </i>
    <i>
      <x v="4"/>
    </i>
    <i>
      <x v="5"/>
    </i>
    <i t="grand">
      <x/>
    </i>
  </rowItems>
  <colItems count="1">
    <i/>
  </colItems>
  <dataFields count="1">
    <dataField name="Max of Balance" fld="3" subtotal="max" baseField="3"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9E4B0E-A4BC-4EA4-8861-63C4BC9DCF38}" name="PivotTable1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s>
  <rowFields count="1">
    <field x="6"/>
  </rowFields>
  <rowItems count="5">
    <i>
      <x/>
    </i>
    <i>
      <x v="1"/>
    </i>
    <i>
      <x v="2"/>
    </i>
    <i>
      <x v="3"/>
    </i>
    <i t="grand">
      <x/>
    </i>
  </rowItems>
  <colItems count="1">
    <i/>
  </colItems>
  <dataFields count="1">
    <dataField name="Sum of NumOfProducts" fld="6"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305E33-3544-4E66-9596-2CD6498883DF}" name="PivotTable2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33:V35" firstHeaderRow="1" firstDataRow="1" firstDataCol="1"/>
  <pivotFields count="10">
    <pivotField showAll="0"/>
    <pivotField showAll="0"/>
    <pivotField showAll="0"/>
    <pivotField showAll="0"/>
    <pivotField showAll="0"/>
    <pivotField showAll="0"/>
    <pivotField showAll="0"/>
    <pivotField showAll="0"/>
    <pivotField showAll="0"/>
    <pivotField axis="axisRow" dataField="1" showAll="0">
      <items count="24">
        <item h="1" x="16"/>
        <item x="6"/>
        <item h="1" x="17"/>
        <item h="1" x="12"/>
        <item h="1" x="19"/>
        <item h="1" x="15"/>
        <item h="1" x="14"/>
        <item h="1" x="9"/>
        <item h="1" x="8"/>
        <item h="1" x="11"/>
        <item h="1" x="4"/>
        <item h="1" x="10"/>
        <item h="1" x="3"/>
        <item h="1" x="0"/>
        <item h="1" x="1"/>
        <item h="1" x="2"/>
        <item h="1" x="22"/>
        <item h="1" x="7"/>
        <item h="1" x="21"/>
        <item h="1" x="5"/>
        <item h="1" x="18"/>
        <item h="1" x="20"/>
        <item h="1" x="13"/>
        <item t="default"/>
      </items>
    </pivotField>
  </pivotFields>
  <rowFields count="1">
    <field x="9"/>
  </rowFields>
  <rowItems count="2">
    <i>
      <x v="1"/>
    </i>
    <i t="grand">
      <x/>
    </i>
  </rowItems>
  <colItems count="1">
    <i/>
  </colItems>
  <dataFields count="1">
    <dataField name="Average of EstimatedSalary" fld="9" subtotal="average" baseField="9"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D3E3B7-282C-4EF0-9B99-04F757E03BF5}" name="PivotTable1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33:Q38" firstHeaderRow="1" firstDataRow="1" firstDataCol="1"/>
  <pivotFields count="8">
    <pivotField showAll="0"/>
    <pivotField showAll="0"/>
    <pivotField showAll="0"/>
    <pivotField axis="axisRow" dataField="1" showAll="0">
      <items count="12">
        <item h="1" x="0"/>
        <item x="1"/>
        <item h="1" x="8"/>
        <item x="4"/>
        <item x="5"/>
        <item x="3"/>
        <item h="1" x="10"/>
        <item h="1" x="7"/>
        <item h="1" x="6"/>
        <item h="1" x="9"/>
        <item h="1" x="2"/>
        <item t="default"/>
      </items>
    </pivotField>
    <pivotField showAll="0"/>
    <pivotField showAll="0"/>
    <pivotField showAll="0"/>
    <pivotField showAll="0"/>
  </pivotFields>
  <rowFields count="1">
    <field x="3"/>
  </rowFields>
  <rowItems count="5">
    <i>
      <x v="1"/>
    </i>
    <i>
      <x v="3"/>
    </i>
    <i>
      <x v="4"/>
    </i>
    <i>
      <x v="5"/>
    </i>
    <i t="grand">
      <x/>
    </i>
  </rowItems>
  <colItems count="1">
    <i/>
  </colItems>
  <dataFields count="1">
    <dataField name="Max of Balance" fld="3" subtotal="max" baseField="3" baseItem="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48BAF5-1A3F-4060-B600-18B9019131DC}" name="PivotTable1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3:AG8" firstHeaderRow="1" firstDataRow="1" firstDataCol="1"/>
  <pivotFields count="10">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s>
  <rowFields count="1">
    <field x="6"/>
  </rowFields>
  <rowItems count="5">
    <i>
      <x/>
    </i>
    <i>
      <x v="1"/>
    </i>
    <i>
      <x v="2"/>
    </i>
    <i>
      <x v="3"/>
    </i>
    <i t="grand">
      <x/>
    </i>
  </rowItems>
  <colItems count="1">
    <i/>
  </colItems>
  <dataFields count="1">
    <dataField name="Sum of NumOfProducts" fld="6"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F97E65-329B-4B0B-A54D-E52E664556A9}" name="PivotTable1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3:K37" firstHeaderRow="1" firstDataRow="1" firstDataCol="1"/>
  <pivotFields count="10">
    <pivotField showAll="0"/>
    <pivotField showAll="0"/>
    <pivotField showAll="0"/>
    <pivotField axis="axisRow" dataField="1" showAll="0">
      <items count="7">
        <item x="0"/>
        <item x="1"/>
        <item x="2"/>
        <item x="3"/>
        <item x="4"/>
        <item x="5"/>
        <item t="default"/>
      </items>
    </pivotField>
    <pivotField showAll="0"/>
    <pivotField showAll="0"/>
    <pivotField showAll="0"/>
    <pivotField showAll="0"/>
    <pivotField showAll="0"/>
    <pivotField showAll="0"/>
  </pivotFields>
  <rowFields count="1">
    <field x="3"/>
  </rowFields>
  <rowItems count="4">
    <i>
      <x v="1"/>
    </i>
    <i>
      <x v="2"/>
    </i>
    <i>
      <x v="3"/>
    </i>
    <i t="grand">
      <x/>
    </i>
  </rowItems>
  <colItems count="1">
    <i/>
  </colItems>
  <dataFields count="1">
    <dataField name="Max of Age" fld="3" subtotal="max" baseField="3" baseItem="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F47C4A-0459-4F79-BA48-C283B29AA102}" name="PivotTable1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3:Y7" firstHeaderRow="1" firstDataRow="2" firstDataCol="1"/>
  <pivotFields count="10">
    <pivotField dataField="1" showAll="0">
      <items count="23">
        <item x="7"/>
        <item x="12"/>
        <item x="11"/>
        <item x="8"/>
        <item x="2"/>
        <item x="21"/>
        <item x="10"/>
        <item x="13"/>
        <item x="17"/>
        <item x="1"/>
        <item x="15"/>
        <item x="0"/>
        <item x="14"/>
        <item x="20"/>
        <item x="5"/>
        <item x="16"/>
        <item x="9"/>
        <item x="3"/>
        <item x="18"/>
        <item x="19"/>
        <item x="6"/>
        <item x="4"/>
        <item t="default"/>
      </items>
    </pivotField>
    <pivotField showAll="0"/>
    <pivotField axis="axisRow" showAll="0">
      <items count="3">
        <item x="0"/>
        <item x="1"/>
        <item t="default"/>
      </items>
    </pivotField>
    <pivotField showAll="0">
      <items count="7">
        <item x="0"/>
        <item x="1"/>
        <item x="2"/>
        <item x="3"/>
        <item x="4"/>
        <item x="5"/>
        <item t="default"/>
      </items>
    </pivotField>
    <pivotField showAll="0"/>
    <pivotField showAll="0"/>
    <pivotField showAll="0"/>
    <pivotField axis="axisCol" showAll="0">
      <items count="3">
        <item x="1"/>
        <item x="0"/>
        <item t="default"/>
      </items>
    </pivotField>
    <pivotField showAll="0"/>
    <pivotField showAll="0"/>
  </pivotFields>
  <rowFields count="1">
    <field x="2"/>
  </rowFields>
  <rowItems count="3">
    <i>
      <x/>
    </i>
    <i>
      <x v="1"/>
    </i>
    <i t="grand">
      <x/>
    </i>
  </rowItems>
  <colFields count="1">
    <field x="7"/>
  </colFields>
  <colItems count="3">
    <i>
      <x/>
    </i>
    <i>
      <x v="1"/>
    </i>
    <i t="grand">
      <x/>
    </i>
  </colItems>
  <dataFields count="1">
    <dataField name="Sum of CreditScore" fld="0"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0" series="1">
      <pivotArea type="data" outline="0" fieldPosition="0">
        <references count="2">
          <reference field="4294967294" count="1" selected="0">
            <x v="0"/>
          </reference>
          <reference field="7" count="1" selected="0">
            <x v="0"/>
          </reference>
        </references>
      </pivotArea>
    </chartFormat>
    <chartFormat chart="3"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A893FB-5219-49EA-996A-A7060C3A903B}" name="PivotTable1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3:T9" firstHeaderRow="1" firstDataRow="2" firstDataCol="1"/>
  <pivotFields count="10">
    <pivotField showAll="0"/>
    <pivotField showAll="0"/>
    <pivotField axis="axisCol" showAll="0">
      <items count="3">
        <item x="0"/>
        <item x="1"/>
        <item t="default"/>
      </items>
    </pivotField>
    <pivotField showAll="0">
      <items count="7">
        <item x="0"/>
        <item x="1"/>
        <item x="2"/>
        <item x="3"/>
        <item x="4"/>
        <item x="5"/>
        <item t="default"/>
      </items>
    </pivotField>
    <pivotField showAll="0"/>
    <pivotField dataField="1" showAll="0"/>
    <pivotField axis="axisRow" showAll="0">
      <items count="5">
        <item x="0"/>
        <item x="2"/>
        <item x="1"/>
        <item x="3"/>
        <item t="default"/>
      </items>
    </pivotField>
    <pivotField showAll="0"/>
    <pivotField showAll="0">
      <items count="3">
        <item x="1"/>
        <item x="0"/>
        <item t="default"/>
      </items>
    </pivotField>
    <pivotField showAll="0"/>
  </pivotFields>
  <rowFields count="1">
    <field x="6"/>
  </rowFields>
  <rowItems count="5">
    <i>
      <x/>
    </i>
    <i>
      <x v="1"/>
    </i>
    <i>
      <x v="2"/>
    </i>
    <i>
      <x v="3"/>
    </i>
    <i t="grand">
      <x/>
    </i>
  </rowItems>
  <colFields count="1">
    <field x="2"/>
  </colFields>
  <colItems count="3">
    <i>
      <x/>
    </i>
    <i>
      <x v="1"/>
    </i>
    <i t="grand">
      <x/>
    </i>
  </colItems>
  <dataFields count="1">
    <dataField name="Sum of Balance" fld="5"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0C1EE6-5DE8-4193-AD61-B2D8D601791D}"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O7" firstHeaderRow="1" firstDataRow="2" firstDataCol="1"/>
  <pivotFields count="10">
    <pivotField showAll="0"/>
    <pivotField axis="axisCol" showAll="0">
      <items count="4">
        <item x="0"/>
        <item x="2"/>
        <item x="1"/>
        <item t="default"/>
      </items>
    </pivotField>
    <pivotField axis="axisRow" dataField="1" showAll="0">
      <items count="3">
        <item x="0"/>
        <item x="1"/>
        <item t="default"/>
      </items>
    </pivotField>
    <pivotField showAll="0">
      <items count="7">
        <item x="0"/>
        <item x="1"/>
        <item x="2"/>
        <item x="3"/>
        <item x="4"/>
        <item x="5"/>
        <item t="default"/>
      </items>
    </pivotField>
    <pivotField showAll="0"/>
    <pivotField showAll="0"/>
    <pivotField showAll="0">
      <items count="5">
        <item x="0"/>
        <item x="2"/>
        <item x="1"/>
        <item x="3"/>
        <item t="default"/>
      </items>
    </pivotField>
    <pivotField showAll="0"/>
    <pivotField showAll="0"/>
    <pivotField showAll="0"/>
  </pivotFields>
  <rowFields count="1">
    <field x="2"/>
  </rowFields>
  <rowItems count="3">
    <i>
      <x/>
    </i>
    <i>
      <x v="1"/>
    </i>
    <i t="grand">
      <x/>
    </i>
  </rowItems>
  <colFields count="1">
    <field x="1"/>
  </colFields>
  <colItems count="4">
    <i>
      <x/>
    </i>
    <i>
      <x v="1"/>
    </i>
    <i>
      <x v="2"/>
    </i>
    <i t="grand">
      <x/>
    </i>
  </colItems>
  <dataFields count="1">
    <dataField name="Count of Gender" fld="2" subtotal="count" baseField="0" baseItem="0"/>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C5C7947-EEF2-4EA6-8631-335915537758}" sourceName="Age">
  <pivotTables>
    <pivotTable tabId="1" name="PivotTable14"/>
  </pivotTables>
  <data>
    <tabular pivotCacheId="856101029">
      <items count="6">
        <i x="1" s="1"/>
        <i x="2" s="1"/>
        <i x="3" s="1"/>
        <i x="0"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 xr10:uid="{9EE1E865-409F-4951-A174-6F4E72451A5F}" sourceName="Balance">
  <pivotTables>
    <pivotTable tabId="5" name="PivotTable16"/>
    <pivotTable tabId="1" name="PivotTable19"/>
  </pivotTables>
  <data>
    <tabular pivotCacheId="405600128">
      <items count="11">
        <i x="0"/>
        <i x="1" s="1"/>
        <i x="8"/>
        <i x="4" s="1"/>
        <i x="5" s="1"/>
        <i x="3" s="1"/>
        <i x="10"/>
        <i x="7"/>
        <i x="6"/>
        <i x="9"/>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3AF6CDBD-B543-41F1-9FD8-FFF56DD66DD6}" sourceName="NumOfProducts">
  <pivotTables>
    <pivotTable tabId="6" name="PivotTable17"/>
    <pivotTable tabId="1" name="PivotTable18"/>
  </pivotTables>
  <data>
    <tabular pivotCacheId="856101029">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timatedSalary" xr10:uid="{82954BB2-048F-4C71-92AF-71BFA73940BD}" sourceName="EstimatedSalary">
  <pivotTables>
    <pivotTable tabId="1" name="PivotTable20"/>
  </pivotTables>
  <data>
    <tabular pivotCacheId="856101029">
      <items count="23">
        <i x="16"/>
        <i x="6" s="1"/>
        <i x="17"/>
        <i x="12"/>
        <i x="19"/>
        <i x="15"/>
        <i x="14"/>
        <i x="9"/>
        <i x="8"/>
        <i x="11"/>
        <i x="4"/>
        <i x="10"/>
        <i x="3"/>
        <i x="0"/>
        <i x="1"/>
        <i x="2"/>
        <i x="22"/>
        <i x="7"/>
        <i x="21"/>
        <i x="5"/>
        <i x="18"/>
        <i x="20"/>
        <i x="1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DFA28E14-9357-40A3-A297-1A6ABEC18055}" sourceName="Geography">
  <pivotTables>
    <pivotTable tabId="1" name="PivotTable3"/>
  </pivotTables>
  <data>
    <tabular pivotCacheId="856101029">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EFE9E89-534D-4E5A-8B82-538AEF8EDC65}" sourceName="Gender">
  <pivotTables>
    <pivotTable tabId="1" name="PivotTable3"/>
  </pivotTables>
  <data>
    <tabular pivotCacheId="856101029">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9C34462-3887-44DE-B10A-1CE5B47C0A92}" sourceName="Gender">
  <pivotTables>
    <pivotTable tabId="1" name="PivotTable12"/>
  </pivotTables>
  <data>
    <tabular pivotCacheId="856101029">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Score" xr10:uid="{2E3AEEC0-5F68-47C0-BAF3-29853343CCBE}" sourceName="CreditScore">
  <pivotTables>
    <pivotTable tabId="1" name="PivotTable13"/>
  </pivotTables>
  <data>
    <tabular pivotCacheId="856101029">
      <items count="22">
        <i x="7" s="1"/>
        <i x="12" s="1"/>
        <i x="11" s="1"/>
        <i x="8" s="1"/>
        <i x="2" s="1"/>
        <i x="21" s="1"/>
        <i x="10" s="1"/>
        <i x="13" s="1"/>
        <i x="17" s="1"/>
        <i x="1" s="1"/>
        <i x="15" s="1"/>
        <i x="0" s="1"/>
        <i x="14" s="1"/>
        <i x="20" s="1"/>
        <i x="5" s="1"/>
        <i x="16" s="1"/>
        <i x="9" s="1"/>
        <i x="3" s="1"/>
        <i x="18" s="1"/>
        <i x="19" s="1"/>
        <i x="6"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C0815A7-82C2-4AE5-BD90-5DDF21E4B96A}" sourceName="Gender">
  <pivotTables>
    <pivotTable tabId="1" name="PivotTable13"/>
  </pivotTables>
  <data>
    <tabular pivotCacheId="85610102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lance" xr10:uid="{428D1307-9679-498E-A8F6-D2AD28DEC8F2}" cache="Slicer_Balance" caption="Balanc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mOfProducts" xr10:uid="{DC7A9B66-1FF6-4001-8697-C89A99F1B47B}" cache="Slicer_NumOfProducts" caption="NumOfProduct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EF5C1E8C-EC07-4C49-BC92-C8392141113D}" cache="Slicer_Age" caption="Age" rowHeight="241300"/>
  <slicer name="Balance 1" xr10:uid="{73A84B9A-17E4-4EBF-B64C-63AC4FF78828}" cache="Slicer_Balance" caption="Balance" startItem="3" rowHeight="241300"/>
  <slicer name="NumOfProducts 1" xr10:uid="{03130A76-9502-4AA3-9C4E-898817C2A422}" cache="Slicer_NumOfProducts" caption="NumOfProducts" rowHeight="241300"/>
  <slicer name="EstimatedSalary" xr10:uid="{3F80A0FF-1B59-49A2-BE10-4020C29A0D06}" cache="Slicer_EstimatedSalary" caption="EstimatedSalary" rowHeight="241300"/>
  <slicer name="Geography" xr10:uid="{A584029B-47CB-4047-A591-694CB6962A70}" cache="Slicer_Geography" caption="Geography" rowHeight="241300"/>
  <slicer name="Gender" xr10:uid="{441DFC32-4188-4E98-A350-B37126FAF5E8}" cache="Slicer_Gender" caption="Gender" rowHeight="241300"/>
  <slicer name="Gender 1" xr10:uid="{B74C0DF6-585D-4E55-9C19-4F5D0FCFCB6E}" cache="Slicer_Gender1" caption="Gender" rowHeight="241300"/>
  <slicer name="CreditScore" xr10:uid="{49032C92-D490-411E-80A0-769FBBE144D3}" cache="Slicer_CreditScore" caption="CreditScore" rowHeight="241300"/>
  <slicer name="Gender 2" xr10:uid="{8024A842-0A3A-4CEF-BE87-E59DF182898E}" cache="Slicer_Gender2"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3D414C-28EE-4160-BC56-819BE009CD94}" name="Table1" displayName="Table1" ref="A3:J13" totalsRowShown="0">
  <autoFilter ref="A3:J13" xr:uid="{AF3D414C-28EE-4160-BC56-819BE009CD94}"/>
  <sortState xmlns:xlrd2="http://schemas.microsoft.com/office/spreadsheetml/2017/richdata2" ref="A4:J13">
    <sortCondition ref="C3:C13"/>
  </sortState>
  <tableColumns count="10">
    <tableColumn id="1" xr3:uid="{62CD89E5-FFA4-4B16-901A-E1E3D54B49B3}" name="CreditScore"/>
    <tableColumn id="2" xr3:uid="{A5D5D916-BE23-4487-9B61-606D200D5708}" name="Geography"/>
    <tableColumn id="3" xr3:uid="{39E96456-480B-4957-8E6A-EC1CE665B514}" name="Gender"/>
    <tableColumn id="4" xr3:uid="{298366E4-EC2C-4214-9F7B-BB053F923D7A}" name="Age"/>
    <tableColumn id="5" xr3:uid="{E0FD2521-DB83-477B-8F7E-9533B563E28E}" name="Tenure"/>
    <tableColumn id="6" xr3:uid="{8E8C2E28-ACC3-459C-BD67-166E944380C1}" name="Balance"/>
    <tableColumn id="7" xr3:uid="{6569A8F6-80E8-44E8-8AE3-D8C8B68F51AE}" name="NumOfProducts"/>
    <tableColumn id="8" xr3:uid="{8DBFA016-D7F3-4B80-B5A3-DE6630041005}" name="HasCrCard"/>
    <tableColumn id="9" xr3:uid="{9074A796-2AA1-4A8E-9544-EBC5A78C9BEC}" name="IsActiveMember"/>
    <tableColumn id="10" xr3:uid="{E4A9B196-F106-4E87-8B75-2E20ACFDEC29}" name="Estimated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EB4B3-7991-499E-A0A0-B7DD307B2DE8}">
  <dimension ref="A3:E7"/>
  <sheetViews>
    <sheetView workbookViewId="0">
      <selection activeCell="I24" sqref="I24"/>
    </sheetView>
  </sheetViews>
  <sheetFormatPr defaultRowHeight="15" x14ac:dyDescent="0.25"/>
  <cols>
    <col min="1" max="1" width="15.85546875" bestFit="1" customWidth="1"/>
    <col min="2" max="2" width="16.28515625" bestFit="1" customWidth="1"/>
    <col min="3" max="3" width="9.140625" bestFit="1" customWidth="1"/>
    <col min="4" max="4" width="5.85546875" bestFit="1" customWidth="1"/>
    <col min="5" max="6" width="11.28515625" bestFit="1" customWidth="1"/>
    <col min="7" max="18" width="3" bestFit="1" customWidth="1"/>
    <col min="19" max="19" width="11.28515625" bestFit="1" customWidth="1"/>
  </cols>
  <sheetData>
    <row r="3" spans="1:5" x14ac:dyDescent="0.25">
      <c r="A3" s="1" t="s">
        <v>19</v>
      </c>
      <c r="B3" s="1" t="s">
        <v>15</v>
      </c>
    </row>
    <row r="4" spans="1:5" x14ac:dyDescent="0.25">
      <c r="A4" s="1" t="s">
        <v>17</v>
      </c>
      <c r="B4" t="s">
        <v>10</v>
      </c>
      <c r="C4" t="s">
        <v>14</v>
      </c>
      <c r="D4" t="s">
        <v>12</v>
      </c>
      <c r="E4" t="s">
        <v>16</v>
      </c>
    </row>
    <row r="5" spans="1:5" x14ac:dyDescent="0.25">
      <c r="A5" s="2" t="s">
        <v>11</v>
      </c>
      <c r="B5" s="4">
        <v>6</v>
      </c>
      <c r="C5" s="4">
        <v>1</v>
      </c>
      <c r="D5" s="4">
        <v>6</v>
      </c>
      <c r="E5" s="4">
        <v>13</v>
      </c>
    </row>
    <row r="6" spans="1:5" x14ac:dyDescent="0.25">
      <c r="A6" s="2" t="s">
        <v>13</v>
      </c>
      <c r="B6" s="4">
        <v>5</v>
      </c>
      <c r="C6" s="4">
        <v>2</v>
      </c>
      <c r="D6" s="4">
        <v>3</v>
      </c>
      <c r="E6" s="4">
        <v>10</v>
      </c>
    </row>
    <row r="7" spans="1:5" x14ac:dyDescent="0.25">
      <c r="A7" s="2" t="s">
        <v>16</v>
      </c>
      <c r="B7" s="4">
        <v>11</v>
      </c>
      <c r="C7" s="4">
        <v>3</v>
      </c>
      <c r="D7" s="4">
        <v>9</v>
      </c>
      <c r="E7" s="4">
        <v>23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BF86-D4D3-4A1A-9B06-F84C7F4627E7}">
  <dimension ref="A1:J13"/>
  <sheetViews>
    <sheetView workbookViewId="0">
      <selection activeCell="A3" sqref="A3:J13"/>
    </sheetView>
  </sheetViews>
  <sheetFormatPr defaultRowHeight="15" x14ac:dyDescent="0.25"/>
  <cols>
    <col min="1" max="1" width="13.5703125" bestFit="1" customWidth="1"/>
    <col min="2" max="2" width="13" bestFit="1" customWidth="1"/>
    <col min="3" max="3" width="10" bestFit="1" customWidth="1"/>
    <col min="4" max="4" width="9.28515625" bestFit="1" customWidth="1"/>
    <col min="5" max="5" width="9.5703125" bestFit="1" customWidth="1"/>
    <col min="6" max="6" width="10.140625" bestFit="1" customWidth="1"/>
    <col min="7" max="7" width="17.5703125" bestFit="1" customWidth="1"/>
    <col min="8" max="8" width="12.28515625" bestFit="1" customWidth="1"/>
    <col min="9" max="9" width="18.140625" bestFit="1" customWidth="1"/>
    <col min="10" max="10" width="17.5703125" bestFit="1" customWidth="1"/>
  </cols>
  <sheetData>
    <row r="1" spans="1:10" x14ac:dyDescent="0.25">
      <c r="A1" s="3" t="s">
        <v>20</v>
      </c>
    </row>
    <row r="3" spans="1:10" x14ac:dyDescent="0.25">
      <c r="A3" t="s">
        <v>0</v>
      </c>
      <c r="B3" t="s">
        <v>1</v>
      </c>
      <c r="C3" t="s">
        <v>2</v>
      </c>
      <c r="D3" t="s">
        <v>3</v>
      </c>
      <c r="E3" t="s">
        <v>4</v>
      </c>
      <c r="F3" t="s">
        <v>5</v>
      </c>
      <c r="G3" t="s">
        <v>6</v>
      </c>
      <c r="H3" t="s">
        <v>7</v>
      </c>
      <c r="I3" t="s">
        <v>8</v>
      </c>
      <c r="J3" t="s">
        <v>9</v>
      </c>
    </row>
    <row r="4" spans="1:10" x14ac:dyDescent="0.25">
      <c r="A4">
        <v>732</v>
      </c>
      <c r="B4" t="s">
        <v>10</v>
      </c>
      <c r="C4" t="s">
        <v>13</v>
      </c>
      <c r="D4">
        <v>41</v>
      </c>
      <c r="E4">
        <v>8</v>
      </c>
      <c r="F4">
        <v>0</v>
      </c>
      <c r="G4">
        <v>2</v>
      </c>
      <c r="H4">
        <v>1</v>
      </c>
      <c r="I4">
        <v>1</v>
      </c>
      <c r="J4">
        <v>170886.17</v>
      </c>
    </row>
    <row r="5" spans="1:10" x14ac:dyDescent="0.25">
      <c r="A5">
        <v>822</v>
      </c>
      <c r="B5" t="s">
        <v>10</v>
      </c>
      <c r="C5" t="s">
        <v>13</v>
      </c>
      <c r="D5">
        <v>50</v>
      </c>
      <c r="E5">
        <v>7</v>
      </c>
      <c r="F5">
        <v>0</v>
      </c>
      <c r="G5">
        <v>2</v>
      </c>
      <c r="H5">
        <v>1</v>
      </c>
      <c r="I5">
        <v>1</v>
      </c>
      <c r="J5">
        <v>10062.799999999999</v>
      </c>
    </row>
    <row r="6" spans="1:10" x14ac:dyDescent="0.25">
      <c r="A6">
        <v>528</v>
      </c>
      <c r="B6" t="s">
        <v>10</v>
      </c>
      <c r="C6" t="s">
        <v>13</v>
      </c>
      <c r="D6">
        <v>31</v>
      </c>
      <c r="E6">
        <v>6</v>
      </c>
      <c r="F6">
        <v>102016.72</v>
      </c>
      <c r="G6">
        <v>2</v>
      </c>
      <c r="H6">
        <v>0</v>
      </c>
      <c r="I6">
        <v>0</v>
      </c>
      <c r="J6">
        <v>80181.119999999995</v>
      </c>
    </row>
    <row r="7" spans="1:10" x14ac:dyDescent="0.25">
      <c r="A7">
        <v>501</v>
      </c>
      <c r="B7" t="s">
        <v>10</v>
      </c>
      <c r="C7" t="s">
        <v>13</v>
      </c>
      <c r="D7">
        <v>44</v>
      </c>
      <c r="E7">
        <v>4</v>
      </c>
      <c r="F7">
        <v>142051.07</v>
      </c>
      <c r="G7">
        <v>2</v>
      </c>
      <c r="H7">
        <v>0</v>
      </c>
      <c r="I7">
        <v>1</v>
      </c>
      <c r="J7">
        <v>74940.5</v>
      </c>
    </row>
    <row r="8" spans="1:10" x14ac:dyDescent="0.25">
      <c r="A8">
        <v>684</v>
      </c>
      <c r="B8" t="s">
        <v>10</v>
      </c>
      <c r="C8" t="s">
        <v>13</v>
      </c>
      <c r="D8">
        <v>27</v>
      </c>
      <c r="E8">
        <v>2</v>
      </c>
      <c r="F8">
        <v>134603.88</v>
      </c>
      <c r="G8">
        <v>1</v>
      </c>
      <c r="H8">
        <v>1</v>
      </c>
      <c r="I8">
        <v>1</v>
      </c>
      <c r="J8">
        <v>71725.73</v>
      </c>
    </row>
    <row r="9" spans="1:10" x14ac:dyDescent="0.25">
      <c r="A9">
        <v>653</v>
      </c>
      <c r="B9" t="s">
        <v>14</v>
      </c>
      <c r="C9" t="s">
        <v>13</v>
      </c>
      <c r="D9">
        <v>58</v>
      </c>
      <c r="E9">
        <v>1</v>
      </c>
      <c r="F9">
        <v>132602.88</v>
      </c>
      <c r="G9">
        <v>1</v>
      </c>
      <c r="H9">
        <v>1</v>
      </c>
      <c r="I9">
        <v>0</v>
      </c>
      <c r="J9">
        <v>5097.67</v>
      </c>
    </row>
    <row r="10" spans="1:10" x14ac:dyDescent="0.25">
      <c r="A10">
        <v>616</v>
      </c>
      <c r="B10" t="s">
        <v>14</v>
      </c>
      <c r="C10" t="s">
        <v>13</v>
      </c>
      <c r="D10">
        <v>45</v>
      </c>
      <c r="E10">
        <v>3</v>
      </c>
      <c r="F10">
        <v>143129.41</v>
      </c>
      <c r="G10">
        <v>2</v>
      </c>
      <c r="H10">
        <v>0</v>
      </c>
      <c r="I10">
        <v>1</v>
      </c>
      <c r="J10">
        <v>64327.26</v>
      </c>
    </row>
    <row r="11" spans="1:10" x14ac:dyDescent="0.25">
      <c r="A11">
        <v>587</v>
      </c>
      <c r="B11" t="s">
        <v>12</v>
      </c>
      <c r="C11" t="s">
        <v>13</v>
      </c>
      <c r="D11">
        <v>45</v>
      </c>
      <c r="E11">
        <v>6</v>
      </c>
      <c r="F11">
        <v>0</v>
      </c>
      <c r="G11">
        <v>1</v>
      </c>
      <c r="H11">
        <v>0</v>
      </c>
      <c r="I11">
        <v>0</v>
      </c>
      <c r="J11">
        <v>158684.81</v>
      </c>
    </row>
    <row r="12" spans="1:10" x14ac:dyDescent="0.25">
      <c r="A12">
        <v>497</v>
      </c>
      <c r="B12" t="s">
        <v>12</v>
      </c>
      <c r="C12" t="s">
        <v>13</v>
      </c>
      <c r="D12">
        <v>24</v>
      </c>
      <c r="E12">
        <v>3</v>
      </c>
      <c r="F12">
        <v>0</v>
      </c>
      <c r="G12">
        <v>2</v>
      </c>
      <c r="H12">
        <v>1</v>
      </c>
      <c r="I12">
        <v>0</v>
      </c>
      <c r="J12">
        <v>76390.009999999995</v>
      </c>
    </row>
    <row r="13" spans="1:10" x14ac:dyDescent="0.25">
      <c r="A13">
        <v>645</v>
      </c>
      <c r="B13" t="s">
        <v>12</v>
      </c>
      <c r="C13" t="s">
        <v>13</v>
      </c>
      <c r="D13">
        <v>44</v>
      </c>
      <c r="E13">
        <v>8</v>
      </c>
      <c r="F13">
        <v>113755.78</v>
      </c>
      <c r="G13">
        <v>2</v>
      </c>
      <c r="H13">
        <v>1</v>
      </c>
      <c r="I13">
        <v>0</v>
      </c>
      <c r="J13">
        <v>149756.71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02A33-1B8B-48A5-810D-57E23724FAA9}">
  <dimension ref="A3:D8"/>
  <sheetViews>
    <sheetView workbookViewId="0">
      <selection activeCell="A3" sqref="A3:D22"/>
    </sheetView>
  </sheetViews>
  <sheetFormatPr defaultRowHeight="15" x14ac:dyDescent="0.25"/>
  <cols>
    <col min="1" max="1" width="18.140625" bestFit="1" customWidth="1"/>
    <col min="2" max="2" width="16.28515625" bestFit="1" customWidth="1"/>
    <col min="3" max="3" width="5.5703125" bestFit="1" customWidth="1"/>
    <col min="4" max="4" width="11.28515625" bestFit="1" customWidth="1"/>
  </cols>
  <sheetData>
    <row r="3" spans="1:4" x14ac:dyDescent="0.25">
      <c r="A3" s="1" t="s">
        <v>21</v>
      </c>
      <c r="B3" s="1" t="s">
        <v>15</v>
      </c>
    </row>
    <row r="4" spans="1:4" x14ac:dyDescent="0.25">
      <c r="A4" s="1" t="s">
        <v>17</v>
      </c>
      <c r="B4" t="s">
        <v>11</v>
      </c>
      <c r="C4" t="s">
        <v>13</v>
      </c>
      <c r="D4" t="s">
        <v>16</v>
      </c>
    </row>
    <row r="5" spans="1:4" x14ac:dyDescent="0.25">
      <c r="A5" s="2" t="s">
        <v>22</v>
      </c>
      <c r="B5" s="4">
        <v>3947</v>
      </c>
      <c r="C5" s="4">
        <v>1709</v>
      </c>
      <c r="D5" s="4">
        <v>5656</v>
      </c>
    </row>
    <row r="6" spans="1:4" x14ac:dyDescent="0.25">
      <c r="A6" s="2" t="s">
        <v>23</v>
      </c>
      <c r="B6" s="4">
        <v>3788</v>
      </c>
      <c r="C6" s="4">
        <v>3903</v>
      </c>
      <c r="D6" s="4">
        <v>7691</v>
      </c>
    </row>
    <row r="7" spans="1:4" x14ac:dyDescent="0.25">
      <c r="A7" s="2" t="s">
        <v>24</v>
      </c>
      <c r="B7" s="4"/>
      <c r="C7" s="4">
        <v>653</v>
      </c>
      <c r="D7" s="4">
        <v>653</v>
      </c>
    </row>
    <row r="8" spans="1:4" x14ac:dyDescent="0.25">
      <c r="A8" s="2" t="s">
        <v>16</v>
      </c>
      <c r="B8" s="4">
        <v>7735</v>
      </c>
      <c r="C8" s="4">
        <v>6265</v>
      </c>
      <c r="D8" s="4">
        <v>14000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E9D4A-F0F4-4C6A-B1E6-0DF7F0B65DBC}">
  <dimension ref="A3:B8"/>
  <sheetViews>
    <sheetView workbookViewId="0">
      <selection activeCell="A2" sqref="A2:B15"/>
    </sheetView>
  </sheetViews>
  <sheetFormatPr defaultRowHeight="15" x14ac:dyDescent="0.25"/>
  <cols>
    <col min="1" max="1" width="13.140625" bestFit="1" customWidth="1"/>
    <col min="2" max="2" width="14.5703125" bestFit="1" customWidth="1"/>
  </cols>
  <sheetData>
    <row r="3" spans="1:2" x14ac:dyDescent="0.25">
      <c r="A3" s="1" t="s">
        <v>17</v>
      </c>
      <c r="B3" t="s">
        <v>26</v>
      </c>
    </row>
    <row r="4" spans="1:2" x14ac:dyDescent="0.25">
      <c r="A4" s="2">
        <v>83807.86</v>
      </c>
      <c r="B4" s="4">
        <v>83807.86</v>
      </c>
    </row>
    <row r="5" spans="1:2" x14ac:dyDescent="0.25">
      <c r="A5" s="2">
        <v>113755.78</v>
      </c>
      <c r="B5" s="4">
        <v>113755.78</v>
      </c>
    </row>
    <row r="6" spans="1:2" x14ac:dyDescent="0.25">
      <c r="A6" s="2">
        <v>115046.74</v>
      </c>
      <c r="B6" s="4">
        <v>115046.74</v>
      </c>
    </row>
    <row r="7" spans="1:2" x14ac:dyDescent="0.25">
      <c r="A7" s="2">
        <v>125510.82</v>
      </c>
      <c r="B7" s="4">
        <v>125510.82</v>
      </c>
    </row>
    <row r="8" spans="1:2" x14ac:dyDescent="0.25">
      <c r="A8" s="2" t="s">
        <v>16</v>
      </c>
      <c r="B8" s="4">
        <v>125510.82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20780-2AB6-4D80-BB19-839EDB4B9291}">
  <dimension ref="A3:B8"/>
  <sheetViews>
    <sheetView workbookViewId="0">
      <selection activeCell="A3" sqref="A3:B8"/>
    </sheetView>
  </sheetViews>
  <sheetFormatPr defaultRowHeight="15" x14ac:dyDescent="0.25"/>
  <cols>
    <col min="1" max="1" width="13.140625" bestFit="1" customWidth="1"/>
    <col min="2" max="2" width="22.140625" bestFit="1" customWidth="1"/>
  </cols>
  <sheetData>
    <row r="3" spans="1:2" x14ac:dyDescent="0.25">
      <c r="A3" s="1" t="s">
        <v>17</v>
      </c>
      <c r="B3" t="s">
        <v>27</v>
      </c>
    </row>
    <row r="4" spans="1:2" x14ac:dyDescent="0.25">
      <c r="A4" s="2">
        <v>1</v>
      </c>
      <c r="B4" s="4">
        <v>7</v>
      </c>
    </row>
    <row r="5" spans="1:2" x14ac:dyDescent="0.25">
      <c r="A5" s="2">
        <v>2</v>
      </c>
      <c r="B5" s="4">
        <v>28</v>
      </c>
    </row>
    <row r="6" spans="1:2" x14ac:dyDescent="0.25">
      <c r="A6" s="2">
        <v>3</v>
      </c>
      <c r="B6" s="4">
        <v>3</v>
      </c>
    </row>
    <row r="7" spans="1:2" x14ac:dyDescent="0.25">
      <c r="A7" s="2">
        <v>4</v>
      </c>
      <c r="B7" s="4">
        <v>4</v>
      </c>
    </row>
    <row r="8" spans="1:2" x14ac:dyDescent="0.25">
      <c r="A8" s="2" t="s">
        <v>16</v>
      </c>
      <c r="B8" s="4">
        <v>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C31C6-AB27-4B3E-8841-7BBA3A585B74}">
  <dimension ref="A1:AG38"/>
  <sheetViews>
    <sheetView tabSelected="1" topLeftCell="G1" workbookViewId="0">
      <selection activeCell="M49" sqref="M49"/>
    </sheetView>
  </sheetViews>
  <sheetFormatPr defaultRowHeight="15" x14ac:dyDescent="0.25"/>
  <cols>
    <col min="1" max="1" width="12.42578125" customWidth="1"/>
    <col min="2" max="2" width="12.7109375" customWidth="1"/>
    <col min="6" max="6" width="8.28515625" customWidth="1"/>
    <col min="9" max="9" width="15.7109375" customWidth="1"/>
    <col min="10" max="10" width="13.140625" bestFit="1" customWidth="1"/>
    <col min="11" max="11" width="11" bestFit="1" customWidth="1"/>
    <col min="12" max="12" width="16.28515625" bestFit="1" customWidth="1"/>
    <col min="13" max="13" width="9.140625" bestFit="1" customWidth="1"/>
    <col min="14" max="14" width="5.85546875" bestFit="1" customWidth="1"/>
    <col min="15" max="15" width="11.28515625" bestFit="1" customWidth="1"/>
    <col min="16" max="17" width="14.5703125" bestFit="1" customWidth="1"/>
    <col min="18" max="18" width="16.28515625" bestFit="1" customWidth="1"/>
    <col min="19" max="19" width="10" bestFit="1" customWidth="1"/>
    <col min="20" max="20" width="11.28515625" bestFit="1" customWidth="1"/>
    <col min="21" max="21" width="13.140625" bestFit="1" customWidth="1"/>
    <col min="22" max="22" width="25.7109375" bestFit="1" customWidth="1"/>
    <col min="23" max="23" width="16.28515625" bestFit="1" customWidth="1"/>
    <col min="24" max="24" width="26.7109375" customWidth="1"/>
    <col min="25" max="25" width="11.28515625" bestFit="1" customWidth="1"/>
    <col min="26" max="26" width="10" bestFit="1" customWidth="1"/>
    <col min="27" max="27" width="13.140625" bestFit="1" customWidth="1"/>
    <col min="28" max="28" width="11" bestFit="1" customWidth="1"/>
    <col min="29" max="29" width="13.140625" bestFit="1" customWidth="1"/>
    <col min="30" max="30" width="14.5703125" bestFit="1" customWidth="1"/>
    <col min="31" max="31" width="5" bestFit="1" customWidth="1"/>
    <col min="32" max="32" width="13.140625" bestFit="1" customWidth="1"/>
    <col min="33" max="33" width="21.28515625" customWidth="1"/>
    <col min="34" max="34" width="5.42578125" customWidth="1"/>
    <col min="35" max="35" width="13.140625" bestFit="1" customWidth="1"/>
    <col min="36" max="36" width="25.7109375" bestFit="1" customWidth="1"/>
  </cols>
  <sheetData>
    <row r="1" spans="1:33" x14ac:dyDescent="0.25">
      <c r="A1" t="s">
        <v>0</v>
      </c>
      <c r="B1" t="s">
        <v>1</v>
      </c>
      <c r="C1" t="s">
        <v>2</v>
      </c>
      <c r="D1" t="s">
        <v>3</v>
      </c>
      <c r="E1" t="s">
        <v>4</v>
      </c>
      <c r="F1" t="s">
        <v>5</v>
      </c>
      <c r="G1" t="s">
        <v>6</v>
      </c>
      <c r="H1" t="s">
        <v>7</v>
      </c>
      <c r="I1" t="s">
        <v>8</v>
      </c>
      <c r="J1" t="s">
        <v>9</v>
      </c>
    </row>
    <row r="2" spans="1:33" x14ac:dyDescent="0.25">
      <c r="A2">
        <v>619</v>
      </c>
      <c r="B2" t="s">
        <v>10</v>
      </c>
      <c r="C2" t="s">
        <v>11</v>
      </c>
      <c r="D2">
        <v>42</v>
      </c>
      <c r="E2">
        <v>2</v>
      </c>
      <c r="F2">
        <v>0</v>
      </c>
      <c r="G2">
        <v>1</v>
      </c>
      <c r="H2">
        <v>1</v>
      </c>
      <c r="I2">
        <v>1</v>
      </c>
      <c r="J2">
        <v>101348.88</v>
      </c>
    </row>
    <row r="3" spans="1:33" x14ac:dyDescent="0.25">
      <c r="A3">
        <v>608</v>
      </c>
      <c r="B3" t="s">
        <v>12</v>
      </c>
      <c r="C3" t="s">
        <v>11</v>
      </c>
      <c r="D3">
        <v>41</v>
      </c>
      <c r="E3">
        <v>1</v>
      </c>
      <c r="F3">
        <v>83807.86</v>
      </c>
      <c r="G3">
        <v>1</v>
      </c>
      <c r="H3">
        <v>0</v>
      </c>
      <c r="I3">
        <v>1</v>
      </c>
      <c r="J3">
        <v>112542.58</v>
      </c>
      <c r="K3" s="1" t="s">
        <v>19</v>
      </c>
      <c r="L3" s="1" t="s">
        <v>15</v>
      </c>
      <c r="Q3" s="1" t="s">
        <v>18</v>
      </c>
      <c r="R3" s="1" t="s">
        <v>15</v>
      </c>
      <c r="V3" s="1" t="s">
        <v>21</v>
      </c>
      <c r="W3" s="1" t="s">
        <v>15</v>
      </c>
      <c r="AF3" s="1" t="s">
        <v>17</v>
      </c>
      <c r="AG3" t="s">
        <v>27</v>
      </c>
    </row>
    <row r="4" spans="1:33" x14ac:dyDescent="0.25">
      <c r="A4">
        <v>502</v>
      </c>
      <c r="B4" t="s">
        <v>10</v>
      </c>
      <c r="C4" t="s">
        <v>11</v>
      </c>
      <c r="D4">
        <v>42</v>
      </c>
      <c r="E4">
        <v>8</v>
      </c>
      <c r="F4">
        <v>159660.79999999999</v>
      </c>
      <c r="G4">
        <v>3</v>
      </c>
      <c r="H4">
        <v>1</v>
      </c>
      <c r="I4">
        <v>0</v>
      </c>
      <c r="J4">
        <v>113931.57</v>
      </c>
      <c r="K4" s="1" t="s">
        <v>17</v>
      </c>
      <c r="L4" t="s">
        <v>10</v>
      </c>
      <c r="M4" t="s">
        <v>14</v>
      </c>
      <c r="N4" t="s">
        <v>12</v>
      </c>
      <c r="O4" t="s">
        <v>16</v>
      </c>
      <c r="Q4" s="1" t="s">
        <v>17</v>
      </c>
      <c r="R4" t="s">
        <v>11</v>
      </c>
      <c r="S4" t="s">
        <v>13</v>
      </c>
      <c r="T4" t="s">
        <v>16</v>
      </c>
      <c r="V4" s="1" t="s">
        <v>17</v>
      </c>
      <c r="W4">
        <v>0</v>
      </c>
      <c r="X4">
        <v>1</v>
      </c>
      <c r="Y4" t="s">
        <v>16</v>
      </c>
      <c r="AF4" s="2">
        <v>1</v>
      </c>
      <c r="AG4" s="4">
        <v>7</v>
      </c>
    </row>
    <row r="5" spans="1:33" x14ac:dyDescent="0.25">
      <c r="A5">
        <v>699</v>
      </c>
      <c r="B5" t="s">
        <v>10</v>
      </c>
      <c r="C5" t="s">
        <v>11</v>
      </c>
      <c r="D5">
        <v>39</v>
      </c>
      <c r="E5">
        <v>1</v>
      </c>
      <c r="F5">
        <v>0</v>
      </c>
      <c r="G5">
        <v>2</v>
      </c>
      <c r="H5">
        <v>0</v>
      </c>
      <c r="I5">
        <v>0</v>
      </c>
      <c r="J5">
        <v>93826.63</v>
      </c>
      <c r="K5" s="2" t="s">
        <v>11</v>
      </c>
      <c r="L5" s="4">
        <v>6</v>
      </c>
      <c r="M5" s="4">
        <v>1</v>
      </c>
      <c r="N5" s="4">
        <v>6</v>
      </c>
      <c r="O5" s="4">
        <v>13</v>
      </c>
      <c r="Q5" s="2">
        <v>1</v>
      </c>
      <c r="R5" s="4">
        <v>209318.68</v>
      </c>
      <c r="S5" s="4">
        <v>267206.76</v>
      </c>
      <c r="T5" s="4">
        <v>476525.44</v>
      </c>
      <c r="V5" s="2" t="s">
        <v>11</v>
      </c>
      <c r="W5" s="4">
        <v>1856</v>
      </c>
      <c r="X5" s="4">
        <v>5879</v>
      </c>
      <c r="Y5" s="4">
        <v>7735</v>
      </c>
      <c r="AF5" s="2">
        <v>2</v>
      </c>
      <c r="AG5" s="4">
        <v>28</v>
      </c>
    </row>
    <row r="6" spans="1:33" x14ac:dyDescent="0.25">
      <c r="A6">
        <v>850</v>
      </c>
      <c r="B6" t="s">
        <v>12</v>
      </c>
      <c r="C6" t="s">
        <v>11</v>
      </c>
      <c r="D6">
        <v>43</v>
      </c>
      <c r="E6">
        <v>2</v>
      </c>
      <c r="F6">
        <v>125510.82</v>
      </c>
      <c r="G6">
        <v>1</v>
      </c>
      <c r="H6">
        <v>1</v>
      </c>
      <c r="I6">
        <v>1</v>
      </c>
      <c r="J6">
        <v>79084.100000000006</v>
      </c>
      <c r="K6" s="2" t="s">
        <v>13</v>
      </c>
      <c r="L6" s="4">
        <v>5</v>
      </c>
      <c r="M6" s="4">
        <v>2</v>
      </c>
      <c r="N6" s="4">
        <v>3</v>
      </c>
      <c r="O6" s="4">
        <v>10</v>
      </c>
      <c r="Q6" s="2">
        <v>2</v>
      </c>
      <c r="R6" s="4">
        <v>0</v>
      </c>
      <c r="S6" s="4">
        <v>500952.98</v>
      </c>
      <c r="T6" s="4">
        <v>500952.98</v>
      </c>
      <c r="V6" s="2" t="s">
        <v>13</v>
      </c>
      <c r="W6" s="4">
        <v>2232</v>
      </c>
      <c r="X6" s="4">
        <v>4033</v>
      </c>
      <c r="Y6" s="4">
        <v>6265</v>
      </c>
      <c r="AF6" s="2">
        <v>3</v>
      </c>
      <c r="AG6" s="4">
        <v>3</v>
      </c>
    </row>
    <row r="7" spans="1:33" x14ac:dyDescent="0.25">
      <c r="A7">
        <v>645</v>
      </c>
      <c r="B7" t="s">
        <v>12</v>
      </c>
      <c r="C7" t="s">
        <v>13</v>
      </c>
      <c r="D7">
        <v>44</v>
      </c>
      <c r="E7">
        <v>8</v>
      </c>
      <c r="F7">
        <v>113755.78</v>
      </c>
      <c r="G7">
        <v>2</v>
      </c>
      <c r="H7">
        <v>1</v>
      </c>
      <c r="I7">
        <v>0</v>
      </c>
      <c r="J7">
        <v>149756.71</v>
      </c>
      <c r="K7" s="2" t="s">
        <v>16</v>
      </c>
      <c r="L7" s="4">
        <v>11</v>
      </c>
      <c r="M7" s="4">
        <v>3</v>
      </c>
      <c r="N7" s="4">
        <v>9</v>
      </c>
      <c r="O7" s="4">
        <v>23</v>
      </c>
      <c r="Q7" s="2">
        <v>3</v>
      </c>
      <c r="R7" s="4">
        <v>159660.79999999999</v>
      </c>
      <c r="S7" s="4"/>
      <c r="T7" s="4">
        <v>159660.79999999999</v>
      </c>
      <c r="V7" s="2" t="s">
        <v>16</v>
      </c>
      <c r="W7" s="4">
        <v>4088</v>
      </c>
      <c r="X7" s="4">
        <v>9912</v>
      </c>
      <c r="Y7" s="4">
        <v>14000</v>
      </c>
      <c r="AF7" s="2">
        <v>4</v>
      </c>
      <c r="AG7" s="4">
        <v>4</v>
      </c>
    </row>
    <row r="8" spans="1:33" x14ac:dyDescent="0.25">
      <c r="A8">
        <v>822</v>
      </c>
      <c r="B8" t="s">
        <v>10</v>
      </c>
      <c r="C8" t="s">
        <v>13</v>
      </c>
      <c r="D8">
        <v>50</v>
      </c>
      <c r="E8">
        <v>7</v>
      </c>
      <c r="F8">
        <v>0</v>
      </c>
      <c r="G8">
        <v>2</v>
      </c>
      <c r="H8">
        <v>1</v>
      </c>
      <c r="I8">
        <v>1</v>
      </c>
      <c r="J8">
        <v>10062.799999999999</v>
      </c>
      <c r="Q8" s="2">
        <v>4</v>
      </c>
      <c r="R8" s="4">
        <v>115046.74</v>
      </c>
      <c r="S8" s="4"/>
      <c r="T8" s="4">
        <v>115046.74</v>
      </c>
      <c r="AF8" s="2" t="s">
        <v>16</v>
      </c>
      <c r="AG8" s="4">
        <v>42</v>
      </c>
    </row>
    <row r="9" spans="1:33" x14ac:dyDescent="0.25">
      <c r="A9">
        <v>376</v>
      </c>
      <c r="B9" t="s">
        <v>14</v>
      </c>
      <c r="C9" t="s">
        <v>11</v>
      </c>
      <c r="D9">
        <v>29</v>
      </c>
      <c r="E9">
        <v>4</v>
      </c>
      <c r="F9">
        <v>115046.74</v>
      </c>
      <c r="G9">
        <v>4</v>
      </c>
      <c r="H9">
        <v>1</v>
      </c>
      <c r="I9">
        <v>0</v>
      </c>
      <c r="J9">
        <v>119346.88</v>
      </c>
      <c r="Q9" s="2" t="s">
        <v>16</v>
      </c>
      <c r="R9" s="4">
        <v>484026.22</v>
      </c>
      <c r="S9" s="4">
        <v>768159.74</v>
      </c>
      <c r="T9" s="4">
        <v>1252185.96</v>
      </c>
    </row>
    <row r="10" spans="1:33" x14ac:dyDescent="0.25">
      <c r="A10">
        <v>501</v>
      </c>
      <c r="B10" t="s">
        <v>10</v>
      </c>
      <c r="C10" t="s">
        <v>13</v>
      </c>
      <c r="D10">
        <v>44</v>
      </c>
      <c r="E10">
        <v>4</v>
      </c>
      <c r="F10">
        <v>142051.07</v>
      </c>
      <c r="G10">
        <v>2</v>
      </c>
      <c r="H10">
        <v>0</v>
      </c>
      <c r="I10">
        <v>1</v>
      </c>
      <c r="J10">
        <v>74940.5</v>
      </c>
    </row>
    <row r="11" spans="1:33" x14ac:dyDescent="0.25">
      <c r="A11">
        <v>684</v>
      </c>
      <c r="B11" t="s">
        <v>10</v>
      </c>
      <c r="C11" t="s">
        <v>13</v>
      </c>
      <c r="D11">
        <v>27</v>
      </c>
      <c r="E11">
        <v>2</v>
      </c>
      <c r="F11">
        <v>134603.88</v>
      </c>
      <c r="G11">
        <v>1</v>
      </c>
      <c r="H11">
        <v>1</v>
      </c>
      <c r="I11">
        <v>1</v>
      </c>
      <c r="J11">
        <v>71725.73</v>
      </c>
    </row>
    <row r="12" spans="1:33" x14ac:dyDescent="0.25">
      <c r="A12">
        <v>528</v>
      </c>
      <c r="B12" t="s">
        <v>10</v>
      </c>
      <c r="C12" t="s">
        <v>13</v>
      </c>
      <c r="D12">
        <v>31</v>
      </c>
      <c r="E12">
        <v>6</v>
      </c>
      <c r="F12">
        <v>102016.72</v>
      </c>
      <c r="G12">
        <v>2</v>
      </c>
      <c r="H12">
        <v>0</v>
      </c>
      <c r="I12">
        <v>0</v>
      </c>
      <c r="J12">
        <v>80181.119999999995</v>
      </c>
    </row>
    <row r="13" spans="1:33" x14ac:dyDescent="0.25">
      <c r="A13">
        <v>497</v>
      </c>
      <c r="B13" t="s">
        <v>12</v>
      </c>
      <c r="C13" t="s">
        <v>13</v>
      </c>
      <c r="D13">
        <v>24</v>
      </c>
      <c r="E13">
        <v>3</v>
      </c>
      <c r="F13">
        <v>0</v>
      </c>
      <c r="G13">
        <v>2</v>
      </c>
      <c r="H13">
        <v>1</v>
      </c>
      <c r="I13">
        <v>0</v>
      </c>
      <c r="J13">
        <v>76390.009999999995</v>
      </c>
    </row>
    <row r="14" spans="1:33" x14ac:dyDescent="0.25">
      <c r="A14">
        <v>476</v>
      </c>
      <c r="B14" t="s">
        <v>10</v>
      </c>
      <c r="C14" t="s">
        <v>11</v>
      </c>
      <c r="D14">
        <v>34</v>
      </c>
      <c r="E14">
        <v>10</v>
      </c>
      <c r="F14">
        <v>0</v>
      </c>
      <c r="G14">
        <v>2</v>
      </c>
      <c r="H14">
        <v>1</v>
      </c>
      <c r="I14">
        <v>0</v>
      </c>
      <c r="J14">
        <v>26260.98</v>
      </c>
    </row>
    <row r="15" spans="1:33" x14ac:dyDescent="0.25">
      <c r="A15">
        <v>549</v>
      </c>
      <c r="B15" t="s">
        <v>10</v>
      </c>
      <c r="C15" t="s">
        <v>11</v>
      </c>
      <c r="D15">
        <v>25</v>
      </c>
      <c r="E15">
        <v>5</v>
      </c>
      <c r="F15">
        <v>0</v>
      </c>
      <c r="G15">
        <v>2</v>
      </c>
      <c r="H15">
        <v>0</v>
      </c>
      <c r="I15">
        <v>0</v>
      </c>
      <c r="J15">
        <v>190857.79</v>
      </c>
    </row>
    <row r="16" spans="1:33" x14ac:dyDescent="0.25">
      <c r="A16">
        <v>635</v>
      </c>
      <c r="B16" t="s">
        <v>12</v>
      </c>
      <c r="C16" t="s">
        <v>11</v>
      </c>
      <c r="D16">
        <v>35</v>
      </c>
      <c r="E16">
        <v>7</v>
      </c>
      <c r="F16">
        <v>0</v>
      </c>
      <c r="G16">
        <v>2</v>
      </c>
      <c r="H16">
        <v>1</v>
      </c>
      <c r="I16">
        <v>1</v>
      </c>
      <c r="J16">
        <v>65951.649999999994</v>
      </c>
    </row>
    <row r="17" spans="1:10" x14ac:dyDescent="0.25">
      <c r="A17">
        <v>616</v>
      </c>
      <c r="B17" t="s">
        <v>14</v>
      </c>
      <c r="C17" t="s">
        <v>13</v>
      </c>
      <c r="D17">
        <v>45</v>
      </c>
      <c r="E17">
        <v>3</v>
      </c>
      <c r="F17">
        <v>143129.41</v>
      </c>
      <c r="G17">
        <v>2</v>
      </c>
      <c r="H17">
        <v>0</v>
      </c>
      <c r="I17">
        <v>1</v>
      </c>
      <c r="J17">
        <v>64327.26</v>
      </c>
    </row>
    <row r="18" spans="1:10" x14ac:dyDescent="0.25">
      <c r="A18">
        <v>653</v>
      </c>
      <c r="B18" t="s">
        <v>14</v>
      </c>
      <c r="C18" t="s">
        <v>13</v>
      </c>
      <c r="D18">
        <v>58</v>
      </c>
      <c r="E18">
        <v>1</v>
      </c>
      <c r="F18">
        <v>132602.88</v>
      </c>
      <c r="G18">
        <v>1</v>
      </c>
      <c r="H18">
        <v>1</v>
      </c>
      <c r="I18">
        <v>0</v>
      </c>
      <c r="J18">
        <v>5097.67</v>
      </c>
    </row>
    <row r="19" spans="1:10" x14ac:dyDescent="0.25">
      <c r="A19">
        <v>549</v>
      </c>
      <c r="B19" t="s">
        <v>12</v>
      </c>
      <c r="C19" t="s">
        <v>11</v>
      </c>
      <c r="D19">
        <v>24</v>
      </c>
      <c r="E19">
        <v>9</v>
      </c>
      <c r="F19">
        <v>0</v>
      </c>
      <c r="G19">
        <v>2</v>
      </c>
      <c r="H19">
        <v>1</v>
      </c>
      <c r="I19">
        <v>1</v>
      </c>
      <c r="J19">
        <v>14406.41</v>
      </c>
    </row>
    <row r="20" spans="1:10" x14ac:dyDescent="0.25">
      <c r="A20">
        <v>587</v>
      </c>
      <c r="B20" t="s">
        <v>12</v>
      </c>
      <c r="C20" t="s">
        <v>13</v>
      </c>
      <c r="D20">
        <v>45</v>
      </c>
      <c r="E20">
        <v>6</v>
      </c>
      <c r="F20">
        <v>0</v>
      </c>
      <c r="G20">
        <v>1</v>
      </c>
      <c r="H20">
        <v>0</v>
      </c>
      <c r="I20">
        <v>0</v>
      </c>
      <c r="J20">
        <v>158684.81</v>
      </c>
    </row>
    <row r="21" spans="1:10" x14ac:dyDescent="0.25">
      <c r="A21">
        <v>726</v>
      </c>
      <c r="B21" t="s">
        <v>10</v>
      </c>
      <c r="C21" t="s">
        <v>11</v>
      </c>
      <c r="D21">
        <v>24</v>
      </c>
      <c r="E21">
        <v>6</v>
      </c>
      <c r="F21">
        <v>0</v>
      </c>
      <c r="G21">
        <v>2</v>
      </c>
      <c r="H21">
        <v>1</v>
      </c>
      <c r="I21">
        <v>1</v>
      </c>
      <c r="J21">
        <v>54724.03</v>
      </c>
    </row>
    <row r="22" spans="1:10" x14ac:dyDescent="0.25">
      <c r="A22">
        <v>732</v>
      </c>
      <c r="B22" t="s">
        <v>10</v>
      </c>
      <c r="C22" t="s">
        <v>13</v>
      </c>
      <c r="D22">
        <v>41</v>
      </c>
      <c r="E22">
        <v>8</v>
      </c>
      <c r="F22">
        <v>0</v>
      </c>
      <c r="G22">
        <v>2</v>
      </c>
      <c r="H22">
        <v>1</v>
      </c>
      <c r="I22">
        <v>1</v>
      </c>
      <c r="J22">
        <v>170886.17</v>
      </c>
    </row>
    <row r="23" spans="1:10" x14ac:dyDescent="0.25">
      <c r="A23">
        <v>636</v>
      </c>
      <c r="B23" t="s">
        <v>12</v>
      </c>
      <c r="C23" t="s">
        <v>11</v>
      </c>
      <c r="D23">
        <v>32</v>
      </c>
      <c r="E23">
        <v>8</v>
      </c>
      <c r="F23">
        <v>0</v>
      </c>
      <c r="G23">
        <v>2</v>
      </c>
      <c r="H23">
        <v>1</v>
      </c>
      <c r="I23">
        <v>0</v>
      </c>
      <c r="J23">
        <v>138555.46</v>
      </c>
    </row>
    <row r="24" spans="1:10" x14ac:dyDescent="0.25">
      <c r="A24">
        <v>510</v>
      </c>
      <c r="B24" t="s">
        <v>12</v>
      </c>
      <c r="C24" t="s">
        <v>11</v>
      </c>
      <c r="D24">
        <v>38</v>
      </c>
      <c r="E24">
        <v>4</v>
      </c>
      <c r="F24">
        <v>0</v>
      </c>
      <c r="G24">
        <v>1</v>
      </c>
      <c r="H24">
        <v>1</v>
      </c>
      <c r="I24">
        <v>0</v>
      </c>
      <c r="J24">
        <v>118913.53</v>
      </c>
    </row>
    <row r="33" spans="10:22" x14ac:dyDescent="0.25">
      <c r="J33" s="1" t="s">
        <v>17</v>
      </c>
      <c r="K33" t="s">
        <v>25</v>
      </c>
      <c r="P33" s="1" t="s">
        <v>17</v>
      </c>
      <c r="Q33" t="s">
        <v>26</v>
      </c>
      <c r="U33" s="1" t="s">
        <v>17</v>
      </c>
      <c r="V33" t="s">
        <v>28</v>
      </c>
    </row>
    <row r="34" spans="10:22" x14ac:dyDescent="0.25">
      <c r="J34" s="2" t="s">
        <v>22</v>
      </c>
      <c r="K34" s="4">
        <v>35</v>
      </c>
      <c r="P34" s="2">
        <v>83807.86</v>
      </c>
      <c r="Q34" s="4">
        <v>83807.86</v>
      </c>
      <c r="U34" s="2">
        <v>10062.799999999999</v>
      </c>
      <c r="V34" s="4">
        <v>10062.799999999999</v>
      </c>
    </row>
    <row r="35" spans="10:22" x14ac:dyDescent="0.25">
      <c r="J35" s="2" t="s">
        <v>23</v>
      </c>
      <c r="K35" s="4">
        <v>50</v>
      </c>
      <c r="P35" s="2">
        <v>113755.78</v>
      </c>
      <c r="Q35" s="4">
        <v>113755.78</v>
      </c>
      <c r="U35" s="2" t="s">
        <v>16</v>
      </c>
      <c r="V35" s="4">
        <v>10062.799999999999</v>
      </c>
    </row>
    <row r="36" spans="10:22" x14ac:dyDescent="0.25">
      <c r="J36" s="2" t="s">
        <v>24</v>
      </c>
      <c r="K36" s="4">
        <v>58</v>
      </c>
      <c r="P36" s="2">
        <v>115046.74</v>
      </c>
      <c r="Q36" s="4">
        <v>115046.74</v>
      </c>
    </row>
    <row r="37" spans="10:22" x14ac:dyDescent="0.25">
      <c r="J37" s="2" t="s">
        <v>16</v>
      </c>
      <c r="K37" s="4">
        <v>58</v>
      </c>
      <c r="P37" s="2">
        <v>125510.82</v>
      </c>
      <c r="Q37" s="4">
        <v>125510.82</v>
      </c>
    </row>
    <row r="38" spans="10:22" x14ac:dyDescent="0.25">
      <c r="P38" s="2" t="s">
        <v>16</v>
      </c>
      <c r="Q38" s="4">
        <v>125510.82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Detail1</vt:lpstr>
      <vt:lpstr>Sheet3</vt: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MITS</dc:creator>
  <cp:lastModifiedBy>MITS</cp:lastModifiedBy>
  <dcterms:created xsi:type="dcterms:W3CDTF">2026-06-06T07:01:40Z</dcterms:created>
  <dcterms:modified xsi:type="dcterms:W3CDTF">2026-06-06T10:30:19Z</dcterms:modified>
</cp:coreProperties>
</file>