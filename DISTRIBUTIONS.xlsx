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0DBAC399-D798-4343-A88C-E4F079EDED47}" xr6:coauthVersionLast="47" xr6:coauthVersionMax="47" xr10:uidLastSave="{00000000-0000-0000-0000-000000000000}"/>
  <bookViews>
    <workbookView xWindow="-120" yWindow="-120" windowWidth="29040" windowHeight="15720" xr2:uid="{39B4F39C-9F2D-4510-BB84-152C279BC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4" i="1"/>
  <c r="L13" i="1"/>
  <c r="L22" i="1"/>
  <c r="K22" i="1"/>
  <c r="E26" i="1" s="1"/>
  <c r="J22" i="1"/>
  <c r="D22" i="1" s="1"/>
  <c r="H22" i="1" s="1"/>
  <c r="C27" i="1"/>
  <c r="E12" i="1"/>
  <c r="H13" i="1"/>
  <c r="H12" i="1"/>
  <c r="B11" i="1"/>
  <c r="D23" i="1" l="1"/>
  <c r="H23" i="1" s="1"/>
  <c r="D25" i="1"/>
  <c r="H25" i="1" s="1"/>
  <c r="D26" i="1"/>
  <c r="E22" i="1"/>
  <c r="E23" i="1"/>
  <c r="I23" i="1" s="1"/>
  <c r="E24" i="1"/>
  <c r="I24" i="1" s="1"/>
  <c r="E25" i="1"/>
  <c r="I25" i="1" s="1"/>
  <c r="H27" i="1" l="1"/>
  <c r="H28" i="1" s="1"/>
  <c r="F22" i="1"/>
  <c r="I22" i="1"/>
  <c r="I27" i="1" s="1"/>
  <c r="I28" i="1" s="1"/>
  <c r="F26" i="1"/>
  <c r="H26" i="1"/>
  <c r="F25" i="1"/>
  <c r="F24" i="1"/>
  <c r="F23" i="1"/>
  <c r="F27" i="1" l="1"/>
  <c r="L24" i="1" s="1"/>
</calcChain>
</file>

<file path=xl/sharedStrings.xml><?xml version="1.0" encoding="utf-8"?>
<sst xmlns="http://schemas.openxmlformats.org/spreadsheetml/2006/main" count="34" uniqueCount="28">
  <si>
    <t>x</t>
  </si>
  <si>
    <t>lambda</t>
  </si>
  <si>
    <t>poisson</t>
  </si>
  <si>
    <t>binomial</t>
  </si>
  <si>
    <t>n</t>
  </si>
  <si>
    <t>p</t>
  </si>
  <si>
    <t>a</t>
  </si>
  <si>
    <t>b</t>
  </si>
  <si>
    <t>uniform</t>
  </si>
  <si>
    <t>uniform(cumulative)</t>
  </si>
  <si>
    <t>Binomial Distribution</t>
  </si>
  <si>
    <t>Uniform Distribution</t>
  </si>
  <si>
    <t>Poisson Distribution</t>
  </si>
  <si>
    <t>y</t>
  </si>
  <si>
    <t>mean(X)</t>
  </si>
  <si>
    <t>mean(y)</t>
  </si>
  <si>
    <t>x-X</t>
  </si>
  <si>
    <t>y-Y</t>
  </si>
  <si>
    <t>PRODUCT(X-x)(Y-y)</t>
  </si>
  <si>
    <t>SUM</t>
  </si>
  <si>
    <t>COVARIENCE</t>
  </si>
  <si>
    <t>covarience(INBULT)</t>
  </si>
  <si>
    <t>DAY</t>
  </si>
  <si>
    <t>STOCK2</t>
  </si>
  <si>
    <t>STOCK1</t>
  </si>
  <si>
    <t>x-X2</t>
  </si>
  <si>
    <t>y-Y2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</si>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</sst>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BD1-3F6D-4012-9988-356AE2ABDBDE}">
  <dimension ref="A6:M28"/>
  <sheetViews>
    <sheetView tabSelected="1" workbookViewId="0">
      <selection activeCell="O16" sqref="O16"/>
    </sheetView>
  </sheetViews>
  <sheetFormatPr defaultRowHeight="15" x14ac:dyDescent="0.25"/>
  <cols>
    <col min="2" max="2" width="18.140625" customWidth="1"/>
    <col min="5" max="5" width="13.140625" customWidth="1"/>
    <col min="6" max="6" width="22.140625" customWidth="1"/>
    <col min="7" max="7" width="19.28515625" customWidth="1"/>
    <col min="11" max="11" width="13.42578125" customWidth="1"/>
    <col min="14" max="14" width="12" customWidth="1"/>
    <col min="15" max="15" width="11.28515625" customWidth="1"/>
    <col min="17" max="17" width="13.28515625" customWidth="1"/>
  </cols>
  <sheetData>
    <row r="6" spans="1:13" x14ac:dyDescent="0.25">
      <c r="K6" s="1" t="s">
        <v>22</v>
      </c>
      <c r="L6" s="1" t="s">
        <v>24</v>
      </c>
      <c r="M6" s="1" t="s">
        <v>23</v>
      </c>
    </row>
    <row r="7" spans="1:13" x14ac:dyDescent="0.25">
      <c r="K7" s="1">
        <v>1</v>
      </c>
      <c r="L7" s="1">
        <v>3</v>
      </c>
      <c r="M7" s="1">
        <v>5</v>
      </c>
    </row>
    <row r="8" spans="1:13" x14ac:dyDescent="0.25">
      <c r="A8" s="2" t="s">
        <v>12</v>
      </c>
      <c r="B8" s="2"/>
      <c r="D8" s="2" t="s">
        <v>10</v>
      </c>
      <c r="E8" s="2"/>
      <c r="G8" s="2" t="s">
        <v>11</v>
      </c>
      <c r="K8" s="1">
        <v>2</v>
      </c>
      <c r="L8" s="1">
        <v>2</v>
      </c>
      <c r="M8" s="1">
        <v>4.5</v>
      </c>
    </row>
    <row r="9" spans="1:13" x14ac:dyDescent="0.25">
      <c r="A9" s="1" t="s">
        <v>0</v>
      </c>
      <c r="B9" s="1">
        <v>0</v>
      </c>
      <c r="D9" s="1" t="s">
        <v>4</v>
      </c>
      <c r="E9" s="1">
        <v>10</v>
      </c>
      <c r="G9" s="1" t="s">
        <v>6</v>
      </c>
      <c r="H9" s="1">
        <v>10</v>
      </c>
      <c r="K9" s="1">
        <v>3</v>
      </c>
      <c r="L9" s="1">
        <v>6</v>
      </c>
      <c r="M9" s="1">
        <v>9</v>
      </c>
    </row>
    <row r="10" spans="1:13" x14ac:dyDescent="0.25">
      <c r="A10" s="1" t="s">
        <v>1</v>
      </c>
      <c r="B10" s="1">
        <v>10</v>
      </c>
      <c r="D10" s="1" t="s">
        <v>5</v>
      </c>
      <c r="E10" s="1">
        <v>0.8</v>
      </c>
      <c r="G10" s="1" t="s">
        <v>7</v>
      </c>
      <c r="H10" s="1">
        <v>20</v>
      </c>
      <c r="K10" s="1">
        <v>4</v>
      </c>
      <c r="L10" s="1">
        <v>1</v>
      </c>
      <c r="M10" s="1">
        <v>1</v>
      </c>
    </row>
    <row r="11" spans="1:13" x14ac:dyDescent="0.25">
      <c r="A11" s="1" t="s">
        <v>2</v>
      </c>
      <c r="B11" s="1">
        <f>_xlfn.POISSON.DIST(0,10,FALSE)</f>
        <v>4.5399929762484854E-5</v>
      </c>
      <c r="D11" s="1" t="s">
        <v>0</v>
      </c>
      <c r="E11" s="1">
        <v>8</v>
      </c>
      <c r="G11" s="1" t="s">
        <v>0</v>
      </c>
      <c r="H11" s="1">
        <v>15</v>
      </c>
      <c r="K11" s="1">
        <v>5</v>
      </c>
      <c r="L11" s="1">
        <v>0</v>
      </c>
      <c r="M11" s="1">
        <v>1</v>
      </c>
    </row>
    <row r="12" spans="1:13" x14ac:dyDescent="0.25">
      <c r="D12" s="1" t="s">
        <v>3</v>
      </c>
      <c r="E12" s="1">
        <f>_xlfn.BINOM.DIST(8,10,0.8,FALSE)</f>
        <v>0.3019898880000001</v>
      </c>
      <c r="G12" s="1" t="s">
        <v>9</v>
      </c>
      <c r="H12" s="1">
        <f>(H11-H9)/(H10-H9)</f>
        <v>0.5</v>
      </c>
      <c r="K12" s="1"/>
      <c r="L12" s="1"/>
      <c r="M12" s="1"/>
    </row>
    <row r="13" spans="1:13" x14ac:dyDescent="0.25">
      <c r="G13" s="1" t="s">
        <v>8</v>
      </c>
      <c r="H13" s="1">
        <f>1/(H10-H9)</f>
        <v>0.1</v>
      </c>
      <c r="K13" s="1" t="s">
        <v>20</v>
      </c>
      <c r="L13" s="1">
        <f>_xlfn.COVARIANCE.S(L7:L11,M7:M11)</f>
        <v>7.4499999999999993</v>
      </c>
      <c r="M13" s="1"/>
    </row>
    <row r="21" spans="2:12" x14ac:dyDescent="0.25">
      <c r="B21" s="3" t="s">
        <v>0</v>
      </c>
      <c r="C21" s="3" t="s">
        <v>13</v>
      </c>
      <c r="D21" s="3" t="s">
        <v>16</v>
      </c>
      <c r="E21" s="3" t="s">
        <v>17</v>
      </c>
      <c r="F21" s="3" t="s">
        <v>18</v>
      </c>
      <c r="G21" s="1"/>
      <c r="H21" s="4" t="s">
        <v>25</v>
      </c>
      <c r="I21" s="4" t="s">
        <v>26</v>
      </c>
      <c r="J21" s="3" t="s">
        <v>14</v>
      </c>
      <c r="K21" s="3" t="s">
        <v>15</v>
      </c>
      <c r="L21" s="3" t="s">
        <v>4</v>
      </c>
    </row>
    <row r="22" spans="2:12" x14ac:dyDescent="0.25">
      <c r="B22" s="1">
        <v>2</v>
      </c>
      <c r="C22" s="1">
        <v>4</v>
      </c>
      <c r="D22" s="1">
        <f>B22-J22</f>
        <v>-0.39999999999999991</v>
      </c>
      <c r="E22" s="1">
        <f>C22-K22</f>
        <v>0.10000000000000009</v>
      </c>
      <c r="F22" s="1">
        <f>D22*E22</f>
        <v>-4.0000000000000029E-2</v>
      </c>
      <c r="G22" s="1"/>
      <c r="H22" s="1">
        <f>D22*D22</f>
        <v>0.15999999999999992</v>
      </c>
      <c r="I22" s="1">
        <f>E22*E22</f>
        <v>1.0000000000000018E-2</v>
      </c>
      <c r="J22" s="1">
        <f>AVERAGE(B22:B26)</f>
        <v>2.4</v>
      </c>
      <c r="K22" s="1">
        <f>AVERAGE(C22:C26)</f>
        <v>3.9</v>
      </c>
      <c r="L22" s="1">
        <f>COUNT(B22:B26)</f>
        <v>5</v>
      </c>
    </row>
    <row r="23" spans="2:12" x14ac:dyDescent="0.25">
      <c r="B23" s="1">
        <v>3</v>
      </c>
      <c r="C23" s="1">
        <v>4.5</v>
      </c>
      <c r="D23" s="1">
        <f>B23-J22</f>
        <v>0.60000000000000009</v>
      </c>
      <c r="E23" s="1">
        <f>C23-K22</f>
        <v>0.60000000000000009</v>
      </c>
      <c r="F23" s="1">
        <f>D23*E23</f>
        <v>0.3600000000000001</v>
      </c>
      <c r="G23" s="1"/>
      <c r="H23" s="1">
        <f>D23*D23</f>
        <v>0.3600000000000001</v>
      </c>
      <c r="I23" s="1">
        <f>E23*E23</f>
        <v>0.3600000000000001</v>
      </c>
      <c r="J23" s="1"/>
      <c r="K23" s="1"/>
      <c r="L23" s="1"/>
    </row>
    <row r="24" spans="2:12" x14ac:dyDescent="0.25">
      <c r="B24" s="1">
        <v>6</v>
      </c>
      <c r="C24" s="1">
        <v>6</v>
      </c>
      <c r="D24" s="1">
        <v>3.6</v>
      </c>
      <c r="E24" s="1">
        <f>C24-K22</f>
        <v>2.1</v>
      </c>
      <c r="F24" s="1">
        <f>D24*E24</f>
        <v>7.5600000000000005</v>
      </c>
      <c r="G24" s="1"/>
      <c r="H24" s="1">
        <f>D24*D24</f>
        <v>12.96</v>
      </c>
      <c r="I24" s="1">
        <f>E24*E24</f>
        <v>4.41</v>
      </c>
      <c r="J24" s="1"/>
      <c r="K24" s="3" t="s">
        <v>20</v>
      </c>
      <c r="L24" s="3">
        <f>F27/4</f>
        <v>3.1750000000000003</v>
      </c>
    </row>
    <row r="25" spans="2:12" x14ac:dyDescent="0.25">
      <c r="B25" s="1">
        <v>0</v>
      </c>
      <c r="C25" s="1">
        <v>3</v>
      </c>
      <c r="D25" s="1">
        <f>B25-J22</f>
        <v>-2.4</v>
      </c>
      <c r="E25" s="1">
        <f>C25-K22</f>
        <v>-0.89999999999999991</v>
      </c>
      <c r="F25" s="1">
        <f>D25*E25</f>
        <v>2.1599999999999997</v>
      </c>
      <c r="G25" s="1"/>
      <c r="H25" s="1">
        <f>D25*D25</f>
        <v>5.76</v>
      </c>
      <c r="I25" s="1">
        <f>E25*E25</f>
        <v>0.80999999999999983</v>
      </c>
      <c r="J25" s="1"/>
      <c r="K25" s="1"/>
      <c r="L25" s="1"/>
    </row>
    <row r="26" spans="2:12" x14ac:dyDescent="0.25">
      <c r="B26" s="1">
        <v>1</v>
      </c>
      <c r="C26" s="1">
        <v>2</v>
      </c>
      <c r="D26" s="1">
        <f>B26-J22</f>
        <v>-1.4</v>
      </c>
      <c r="E26" s="1">
        <f>C26-K22</f>
        <v>-1.9</v>
      </c>
      <c r="F26" s="1">
        <f>D26*E26</f>
        <v>2.6599999999999997</v>
      </c>
      <c r="G26" s="1"/>
      <c r="H26" s="1">
        <f>D26*D26</f>
        <v>1.9599999999999997</v>
      </c>
      <c r="I26" s="1">
        <f>E26*E26</f>
        <v>3.61</v>
      </c>
      <c r="J26" s="1"/>
      <c r="K26" s="1"/>
      <c r="L26" s="1"/>
    </row>
    <row r="27" spans="2:12" x14ac:dyDescent="0.25">
      <c r="B27" s="3" t="s">
        <v>21</v>
      </c>
      <c r="C27" s="3">
        <f>_xlfn.COVARIANCE.S(B22:B26,C22:C26)</f>
        <v>3.1750000000000003</v>
      </c>
      <c r="D27" s="1"/>
      <c r="E27" s="3" t="s">
        <v>19</v>
      </c>
      <c r="F27" s="3">
        <f>SUM(F22:F26)</f>
        <v>12.700000000000001</v>
      </c>
      <c r="G27" s="1" t="s">
        <v>19</v>
      </c>
      <c r="H27" s="1">
        <f>SUM(H22:H26)</f>
        <v>21.200000000000003</v>
      </c>
      <c r="I27" s="1">
        <f>SUM(I22:I26)</f>
        <v>9.1999999999999993</v>
      </c>
      <c r="J27" s="1"/>
      <c r="K27" s="1"/>
      <c r="L27" s="1"/>
    </row>
    <row r="28" spans="2:12" x14ac:dyDescent="0.25">
      <c r="B28" s="1"/>
      <c r="C28" s="1"/>
      <c r="D28" s="1"/>
      <c r="E28" s="1"/>
      <c r="F28" s="1"/>
      <c r="G28" s="1" t="s">
        <v>27</v>
      </c>
      <c r="H28" s="1">
        <f>SQRT(H27/4)</f>
        <v>2.3021728866442679</v>
      </c>
      <c r="I28" s="1">
        <f>SQRT(I27/4)</f>
        <v>1.51657508881031</v>
      </c>
      <c r="J28" s="1"/>
      <c r="K28" s="1"/>
      <c r="L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2026-06-30T05:08:52Z</dcterms:created>
  <dcterms:modified xsi:type="dcterms:W3CDTF">2026-06-30T10:42:47Z</dcterms:modified>
</cp:coreProperties>
</file>